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анели" sheetId="2" state="visible" r:id="rId4"/>
    <sheet name="Общий аудит" sheetId="3" state="visible" r:id="rId5"/>
    <sheet name="Review" sheetId="4" state="visible" r:id="rId6"/>
  </sheets>
  <definedNames>
    <definedName function="false" hidden="true" localSheetId="1" name="_xlnm._FilterDatabase" vbProcedure="false">Панели!$B$4:$N$69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<sst xmlns="http://schemas.openxmlformats.org/spreadsheetml/2006/main" count="520" uniqueCount="390">
  <si>
    <t xml:space="preserve">Аудит готовности SuperAgents OS (ai-os-new)</t>
  </si>
  <si>
    <t xml:space="preserve">1. Паспорт аудита</t>
  </si>
  <si>
    <t xml:space="preserve">Репозиторий</t>
  </si>
  <si>
    <t xml:space="preserve">github.com/egilyad/ai-os-new</t>
  </si>
  <si>
    <t xml:space="preserve">Ветка</t>
  </si>
  <si>
    <t xml:space="preserve">fix-debate-text-truncation (коммит d632cf7, «feat: AGEMS 4.x platform budget UI…»)</t>
  </si>
  <si>
    <t xml:space="preserve">Версия проекта</t>
  </si>
  <si>
    <t xml:space="preserve">ai-os-new 4.5.0 «SuperAgents OS» — браузерная multi-agent ОС (local-first)</t>
  </si>
  <si>
    <t xml:space="preserve">Дата аудита</t>
  </si>
  <si>
    <t xml:space="preserve">2026-09-18</t>
  </si>
  <si>
    <t xml:space="preserve">Режим</t>
  </si>
  <si>
    <t xml:space="preserve">Экспресс-обзор всех панелей + развёрнутый аудит проекта (статический анализ, без запуска сборки)</t>
  </si>
  <si>
    <t xml:space="preserve">Scope панелей</t>
  </si>
  <si>
    <t xml:space="preserve">docs/PANEL_MAP.md — Dashboard + Chat + Debates. ВНИМАНИЕ: файл заявляет 57 панелей, фактически перечисляет 65; часть «дебатов» переехала в новую секцию Techniques. Аудит выполнен по всем 65 перечисленным панелям.</t>
  </si>
  <si>
    <t xml:space="preserve">2. Масштаб проекта (статический подсчёт)</t>
  </si>
  <si>
    <t xml:space="preserve">Файлов TypeScript/TSX в src/</t>
  </si>
  <si>
    <t xml:space="preserve">2 663</t>
  </si>
  <si>
    <t xml:space="preserve">Строк кода в src/</t>
  </si>
  <si>
    <t xml:space="preserve">≈ 432 400</t>
  </si>
  <si>
    <t xml:space="preserve">Unit-тест-файлов</t>
  </si>
  <si>
    <t xml:space="preserve">365 (~14% от файлов)</t>
  </si>
  <si>
    <t xml:space="preserve">React-компонентов</t>
  </si>
  <si>
    <t xml:space="preserve">888</t>
  </si>
  <si>
    <t xml:space="preserve">Zustand-store'ов</t>
  </si>
  <si>
    <t xml:space="preserve">52</t>
  </si>
  <si>
    <t xml:space="preserve">Файлов kernel-сервисов</t>
  </si>
  <si>
    <t xml:space="preserve">882 (43+ фаз регистрации)</t>
  </si>
  <si>
    <t xml:space="preserve">Типизированных событий EventBus</t>
  </si>
  <si>
    <t xml:space="preserve">≈ 543</t>
  </si>
  <si>
    <t xml:space="preserve">Панелей навигации всего в приложении</t>
  </si>
  <si>
    <t xml:space="preserve">227 (61 core + 49 system + 117 content)</t>
  </si>
  <si>
    <t xml:space="preserve">Панелей в scope аудита</t>
  </si>
  <si>
    <t xml:space="preserve">65 (11 Dashboard + 6 Chat + 48 Debates)</t>
  </si>
  <si>
    <t xml:space="preserve">3. Методология оценки (0–10)</t>
  </si>
  <si>
    <t xml:space="preserve">UI-готовность (вес 30%)</t>
  </si>
  <si>
    <t xml:space="preserve">Реализован ли компонент: размер (LOC с учётом папок), тесты, флаги planned/experimental</t>
  </si>
  <si>
    <t xml:space="preserve">Бэкенд-wiring (вес 30%)</t>
  </si>
  <si>
    <t xml:space="preserve">Подключение к kernel-сервисам, store'ам, хукам живых данных (useRealAgents / useDebateArguments), EventBus</t>
  </si>
  <si>
    <t xml:space="preserve">i18n и UX (вес 20%)</t>
  </si>
  <si>
    <t xml:space="preserve">useTranslation, число t()-вызовов, обработка пустых состояний, захардкоженные строки, инлайн-стили</t>
  </si>
  <si>
    <t xml:space="preserve">Тесты и надёжность (вес 20%)</t>
  </si>
  <si>
    <t xml:space="preserve">Наличие unit-теста панели, плотность try/catch</t>
  </si>
  <si>
    <t xml:space="preserve">Итог</t>
  </si>
  <si>
    <t xml:space="preserve">0.3×UI + 0.3×Wiring + 0.2×i18n + 0.2×Тесты. Градации: ≥8.5 готова · 7–8.4 почти готова · 5.5–6.9 прототип · 4–5.4 черновик</t>
  </si>
  <si>
    <t xml:space="preserve">4. Сводка по разделам</t>
  </si>
  <si>
    <t xml:space="preserve">Раздел</t>
  </si>
  <si>
    <t xml:space="preserve">Панелей</t>
  </si>
  <si>
    <t xml:space="preserve">UI</t>
  </si>
  <si>
    <t xml:space="preserve">Wiring</t>
  </si>
  <si>
    <t xml:space="preserve">i18n/UX</t>
  </si>
  <si>
    <t xml:space="preserve">Тесты</t>
  </si>
  <si>
    <t xml:space="preserve">Dashboard</t>
  </si>
  <si>
    <t xml:space="preserve">Chat</t>
  </si>
  <si>
    <t xml:space="preserve">Debates</t>
  </si>
  <si>
    <t xml:space="preserve">5. Лидеры и аутсайдеры</t>
  </si>
  <si>
    <t xml:space="preserve">Лидеры (топ-5)</t>
  </si>
  <si>
    <t xml:space="preserve">Chat — 9.1 · Debate Arena — 9.0 · Overview — 8.7 · Builder — 8.6 · Adversarial Source — 8.3</t>
  </si>
  <si>
    <t xml:space="preserve">Аутсайдеры (худшие-5)</t>
  </si>
  <si>
    <t xml:space="preserve">Key Usage Analytics — 4.9 · Debate Templates — 5.0 · Budget Alerts — 5.1 · Contribution Graph — 5.2 · Debate Replay — 5.3</t>
  </si>
  <si>
    <t xml:space="preserve">6. Итоговая оценка и ключевые риски</t>
  </si>
  <si>
    <t xml:space="preserve">Средний балл панелей (65)</t>
  </si>
  <si>
    <t xml:space="preserve">7.1 / 10</t>
  </si>
  <si>
    <t xml:space="preserve">Средний балл инфраструктуры (10 направлений)</t>
  </si>
  <si>
    <t xml:space="preserve">8.0 / 10</t>
  </si>
  <si>
    <t xml:space="preserve">ИТОГОВАЯ ОЦЕНКА ПРОЕКТА</t>
  </si>
  <si>
    <t xml:space="preserve">7.5 / 10 — сильная инженерная база, умеренный техдолг</t>
  </si>
  <si>
    <t xml:space="preserve">Р1. «Пишем без проверок»</t>
  </si>
  <si>
    <t xml:space="preserve">Разработка ведётся с отложенными typecheck/build/tests (SUMMARY.md). До финального прогона на «сильном ПК» проект теоретически содержит невоспроизведённые ошибки компиляции.</t>
  </si>
  <si>
    <t xml:space="preserve">Р2. Ключи API в открытом виде</t>
  </si>
  <si>
    <t xml:space="preserve">По умолчанию ключи лежат plaintext в IndexedDB (честно задокументировано в README); AES-GCM vault есть, но опционален. Запрет использования на shared-машинах — только организационная мера.</t>
  </si>
  <si>
    <t xml:space="preserve">Р3. Символическое e2e-покрытие</t>
  </si>
  <si>
    <t xml:space="preserve">Одна базовая Playwright-спека на 26 строк на 227 панелей; coverage считается только по 5 стабильным директориям с порогами 30/20%.</t>
  </si>
  <si>
    <t xml:space="preserve">Р4. Перегрузка навигации</t>
  </si>
  <si>
    <t xml:space="preserve">227 пунктов меню; 33 «ComingSoon» свернуты в Experimental, но PANEL_MAP.md уже рассинхронизирован с реестром — документация отстаёт от UI.</t>
  </si>
  <si>
    <t xml:space="preserve">Р5. Мьютированная уязвимость</t>
  </si>
  <si>
    <t xml:space="preserve">npm audit понижен до --audit-level=critical из-за react-router 7.12–8.2 (GHSA-qwww-vcr4-c8h2); риск для client-only SPA низкий, но ждёт патча 7.x.</t>
  </si>
  <si>
    <t xml:space="preserve">Оценки готовности 65 панелей (PANEL_MAP.md)</t>
  </si>
  <si>
    <t xml:space="preserve">№</t>
  </si>
  <si>
    <t xml:space="preserve">Раздел (PANEL_MAP)</t>
  </si>
  <si>
    <t xml:space="preserve">Панель</t>
  </si>
  <si>
    <t xml:space="preserve">id</t>
  </si>
  <si>
    <t xml:space="preserve">Секция реестра сейчас</t>
  </si>
  <si>
    <t xml:space="preserve">Компонент</t>
  </si>
  <si>
    <t xml:space="preserve">LOC</t>
  </si>
  <si>
    <t xml:space="preserve">UI (30%)</t>
  </si>
  <si>
    <t xml:space="preserve">Wiring (30%)</t>
  </si>
  <si>
    <t xml:space="preserve">i18n/UX (20%)</t>
  </si>
  <si>
    <t xml:space="preserve">Тесты (20%)</t>
  </si>
  <si>
    <t xml:space="preserve">ИТОГ</t>
  </si>
  <si>
    <t xml:space="preserve">Комментарий</t>
  </si>
  <si>
    <t xml:space="preserve">Overview</t>
  </si>
  <si>
    <t xml:space="preserve">dashboard</t>
  </si>
  <si>
    <t xml:space="preserve">components/DashboardPanel/DashboardPanel.tsx</t>
  </si>
  <si>
    <t xml:space="preserve">[Готова к продуктиву] Флагманская панель-конструктор: папка DashboardPanel/ (16 файлов, ~3.1 тыс. строк), саб-секции StatsGrid, InferenceMesh, RoutingActivity, LiveTerminal. Есть unit-тест, ErrorBoundary и живые данные через store'ы. Самая зрелая панель приложения.</t>
  </si>
  <si>
    <t xml:space="preserve">Analytics</t>
  </si>
  <si>
    <t xml:space="preserve">analytics</t>
  </si>
  <si>
    <t xml:space="preserve">components/AnalyticsPanel/AnalyticsPanel.tsx</t>
  </si>
  <si>
    <t xml:space="preserve">[Почти готова] Компонент 249 строк — солидный средний размер. данные из: kernel-сервисы, хуки живых данных (useRealAgents/useDebateArguments). i18n есть (5 вызовов t()). unit-тест есть.</t>
  </si>
  <si>
    <t xml:space="preserve">Economics</t>
  </si>
  <si>
    <t xml:space="preserve">pricing</t>
  </si>
  <si>
    <t xml:space="preserve">components/AnalyticsPanel/PricingPanel.tsx</t>
  </si>
  <si>
    <t xml:space="preserve">[Рабочий прототип] PricingPanel в папке AnalyticsPanel. Экономика тарифов: i18n, живые данные о стоимости из store'ов. Уверенный средний уровень.</t>
  </si>
  <si>
    <t xml:space="preserve">Budget</t>
  </si>
  <si>
    <t xml:space="preserve">budget</t>
  </si>
  <si>
    <t xml:space="preserve">components/BudgetPanel.tsx</t>
  </si>
  <si>
    <t xml:space="preserve">[Рабочий прототип] Компонент 168 строк — солидный средний размер. данные из: kernel-сервисы, хуки живых данных (useRealAgents/useDebateArguments). i18n есть (9 вызовов t()). unit-теста нет.</t>
  </si>
  <si>
    <t xml:space="preserve">Cost Analytics</t>
  </si>
  <si>
    <t xml:space="preserve">cost-analytics</t>
  </si>
  <si>
    <t xml:space="preserve">components/CostAnalyticsPanel.tsx</t>
  </si>
  <si>
    <t xml:space="preserve">[Рабочий прототип] Компонент 441 строк — полноценная реализация. данные из: kernel-сервисы. i18n есть (19 вызовов t()). unit-теста нет.</t>
  </si>
  <si>
    <t xml:space="preserve">Cost Optimization</t>
  </si>
  <si>
    <t xml:space="preserve">cost-optimization</t>
  </si>
  <si>
    <t xml:space="preserve">components/CostOptimizationPanel.tsx</t>
  </si>
  <si>
    <t xml:space="preserve">[Рабочий прототип] Компонент 324 строк — полноценная реализация. данные из: kernel-сервисы. i18n есть (10 вызовов t()). unit-теста нет.</t>
  </si>
  <si>
    <t xml:space="preserve">Custom Metrics</t>
  </si>
  <si>
    <t xml:space="preserve">custom-metrics</t>
  </si>
  <si>
    <t xml:space="preserve">section-randoms</t>
  </si>
  <si>
    <t xml:space="preserve">components/CustomMetricsPanel.tsx</t>
  </si>
  <si>
    <t xml:space="preserve">[Рабочий прототип] Компонент 320 строк — полноценная реализация. данные из: kernel-сервисы. i18n есть (12 вызовов t()). unit-теста нет.</t>
  </si>
  <si>
    <t xml:space="preserve">Budget Alerts</t>
  </si>
  <si>
    <t xml:space="preserve">budget-alerts</t>
  </si>
  <si>
    <t xml:space="preserve">components/BudgetAlertsPanel.tsx</t>
  </si>
  <si>
    <t xml:space="preserve">[Черновик] Полностью локальная логика правил алертов (useState, без kernel/store), строки захардкожены на английском ('Budget Alert Rules', 'Above Threshold'). Функциональна как локальный инструмент, но выпадает из i18n иKernel-архитектуры.</t>
  </si>
  <si>
    <t xml:space="preserve">Key Usage Analytics</t>
  </si>
  <si>
    <t xml:space="preserve">key-usage-analytics</t>
  </si>
  <si>
    <t xml:space="preserve">components/KeyUsageAnalyticsPanel.tsx</t>
  </si>
  <si>
    <t xml:space="preserve">[Черновик] Компонент 258 строк — солидный средний размер. данные из: kernel-сервисы. строки захардкожены без i18n. unit-теста нет.</t>
  </si>
  <si>
    <t xml:space="preserve">Routing AI</t>
  </si>
  <si>
    <t xml:space="preserve">routing</t>
  </si>
  <si>
    <t xml:space="preserve">components/RoutingIntelligence/RoutingIntelligence.tsx</t>
  </si>
  <si>
    <t xml:space="preserve">[Почти готова] RoutingIntelligence — выделенная папка, тест есть. Панель маршрутизации LLM (bandit/UCB-стратегии из README), интегрирована с kernel-роутингом.</t>
  </si>
  <si>
    <t xml:space="preserve">Contribution Graph</t>
  </si>
  <si>
    <t xml:space="preserve">contribution-graph</t>
  </si>
  <si>
    <t xml:space="preserve">components/ContributionGraphPanel.tsx</t>
  </si>
  <si>
    <t xml:space="preserve">[Черновик] Компонент 217 строк — солидный средний размер. данные из: kernel-сервисы. строки захардкожены без i18n. unit-теста нет.</t>
  </si>
  <si>
    <t xml:space="preserve">chat</t>
  </si>
  <si>
    <t xml:space="preserve">components/ChatPanel/ChatPanel.tsx</t>
  </si>
  <si>
    <t xml:space="preserve">[Готова к продуктиву] Основной чат: ChatPanel.tsx (516 строк) + выделенный store-модуль stores/chat/ (send-message, hydration, event-handlers) с тестами. Полная i18n, интеграция с LLM-адаптерами и EventBus. Продакшн-уровень.</t>
  </si>
  <si>
    <t xml:space="preserve">Chat Sessions</t>
  </si>
  <si>
    <t xml:space="preserve">chat-sessions</t>
  </si>
  <si>
    <t xml:space="preserve">components/ChatSessionsManagerPanel.tsx</t>
  </si>
  <si>
    <t xml:space="preserve">[Почти готова] Компонент 663 строк — полноценная реализация. данные из: kernel-сервисы, Zustand-store'ы. i18n есть (3 вызовов t()). unit-тест есть.</t>
  </si>
  <si>
    <t xml:space="preserve">Session Hub</t>
  </si>
  <si>
    <t xml:space="preserve">session-hub</t>
  </si>
  <si>
    <t xml:space="preserve">components/SessionHubPanel.tsx</t>
  </si>
  <si>
    <t xml:space="preserve">[Рабочий прототип] Компонент 535 строк — полноценная реализация. данные из: Zustand-store'ы. i18n есть (1 вызовов t()). unit-теста нет.</t>
  </si>
  <si>
    <t xml:space="preserve">Bookmarks</t>
  </si>
  <si>
    <t xml:space="preserve">bookmarks</t>
  </si>
  <si>
    <t xml:space="preserve">components/BookmarksPanel/BookmarksPanel.tsx</t>
  </si>
  <si>
    <t xml:space="preserve">[Рабочий прототип] Компонент 281 строк — солидный средний размер. данные из: kernel-сервисы, хуки живых данных (useRealAgents/useDebateArguments). i18n есть (11 вызовов t()). unit-теста нет.</t>
  </si>
  <si>
    <t xml:space="preserve">Tasks</t>
  </si>
  <si>
    <t xml:space="preserve">tasks</t>
  </si>
  <si>
    <t xml:space="preserve">components/TasksPanel/TasksPanel.tsx</t>
  </si>
  <si>
    <t xml:space="preserve">[Почти готова] TasksPanel — папка, тест есть. Интеграция с task-store. Ошибок не выявлено, средне-высокая готовность.</t>
  </si>
  <si>
    <t xml:space="preserve">Files</t>
  </si>
  <si>
    <t xml:space="preserve">files</t>
  </si>
  <si>
    <t xml:space="preserve">components/WorkspacePanel/WorkspacePanel.tsx</t>
  </si>
  <si>
    <t xml:space="preserve">[Рабочий прототип] WorkspacePanel (панель файлов) — папка WorkspacePanel/, placeholder-атрибуты в инпутах. Средний уровень, отдельного теста нет.</t>
  </si>
  <si>
    <t xml:space="preserve">Debate Arena</t>
  </si>
  <si>
    <t xml:space="preserve">debate</t>
  </si>
  <si>
    <t xml:space="preserve">components/DebateArena.tsx</t>
  </si>
  <si>
    <t xml:space="preserve">[Готова к продуктиву] Debate Arena — переключатель режимов classic (DebatePanel) / runtime (?mode=runtime, DebateRuntimePanel ~3.3 тыс. строк). Визуально зрелая обвязка (табы, ErrorBoundary, i18n), за ней — самый развитый модуль системы. Тест DebateArena.test.tsx есть.</t>
  </si>
  <si>
    <t xml:space="preserve">Builder</t>
  </si>
  <si>
    <t xml:space="preserve">builder</t>
  </si>
  <si>
    <t xml:space="preserve">section-builder</t>
  </si>
  <si>
    <t xml:space="preserve">components/BuilderPanel/CognitiveBuilder.tsx</t>
  </si>
  <si>
    <t xml:space="preserve">[Готова к продуктиву] CognitiveBuilder — конструктор топологий, test присутствует. Ключевая панель сценария 'OS-интеллект', связана с BuilderService и графовыми хранилищами. Помечена experimental в реестре.</t>
  </si>
  <si>
    <t xml:space="preserve">Debate Live</t>
  </si>
  <si>
    <t xml:space="preserve">debate-live</t>
  </si>
  <si>
    <t xml:space="preserve">components/DebateLive/DebateLivePanel.tsx</t>
  </si>
  <si>
    <t xml:space="preserve">[Рабочий прототип] Живая трансляция дебатов, 212 строк + debateLiveStore (634 строки, с тестами). Подключена к runtime-событиям. Готовность высокая, но отдельного теста компонента нет.</t>
  </si>
  <si>
    <t xml:space="preserve">Debate Rooms</t>
  </si>
  <si>
    <t xml:space="preserve">debate-workspace</t>
  </si>
  <si>
    <t xml:space="preserve">components/DebatePanel/DebateWorkspacePanel.tsx</t>
  </si>
  <si>
    <t xml:space="preserve">[Рабочий прототип] Debate Rooms (DebatePanel/DebateWorkspacePanel, 307 строк в папке). Работает с сессиями дебатов; в компоненте есть placeholder-атрибуты ввода (не заглушки). Отдельного теста нет.</t>
  </si>
  <si>
    <t xml:space="preserve">Debate Replay</t>
  </si>
  <si>
    <t xml:space="preserve">debate-replay</t>
  </si>
  <si>
    <t xml:space="preserve">components/DebateReplayPanel.tsx</t>
  </si>
  <si>
    <t xml:space="preserve">[Черновик] DebateReplayPanel + 6 саб-компонентов (Timeline, Sidebar, Controls — суммарно ~900 строк). Реальная функциональность, но i18n отсутствует в главном файле и теста нет.</t>
  </si>
  <si>
    <t xml:space="preserve">Tournament</t>
  </si>
  <si>
    <t xml:space="preserve">debate-tournament</t>
  </si>
  <si>
    <t xml:space="preserve">components/TournamentPanel.tsx</t>
  </si>
  <si>
    <t xml:space="preserve">[Черновик] Компонент 377 строк — полноценная реализация. данные из: kernel-сервисы. строки захардкожены без i18n. unit-теста нет.</t>
  </si>
  <si>
    <t xml:space="preserve">Audience</t>
  </si>
  <si>
    <t xml:space="preserve">audience</t>
  </si>
  <si>
    <t xml:space="preserve">components/AudiencePanel.tsx</t>
  </si>
  <si>
    <t xml:space="preserve">[Черновик] Компонент 632 строк — полноценная реализация. данные из: kernel-сервисы. строки захардкожены без i18n. unit-теста нет.</t>
  </si>
  <si>
    <t xml:space="preserve">Argument Graph</t>
  </si>
  <si>
    <t xml:space="preserve">argument-graph</t>
  </si>
  <si>
    <t xml:space="preserve">components/ArgumentGraphPanel/ArgumentGraphPanel.tsx</t>
  </si>
  <si>
    <t xml:space="preserve">[Рабочий прототип] ArgumentGraphPanel — визуальный граф аргументов (xyflow). Без useTranslation (захардкоженные строки), теста нет. Функциональность реальная, но локализация и надёжность проседают.</t>
  </si>
  <si>
    <t xml:space="preserve">Strategy Builder</t>
  </si>
  <si>
    <t xml:space="preserve">strategy-builder</t>
  </si>
  <si>
    <t xml:space="preserve">components/DebatePanel/DebateStrategyBuilder.tsx</t>
  </si>
  <si>
    <t xml:space="preserve">[Рабочий прототип] Компонент 366 строк — полноценная реализация. данные из: kernel-сервисы. строки захардкожены без i18n. unit-теста нет.</t>
  </si>
  <si>
    <t xml:space="preserve">Debate Analysis</t>
  </si>
  <si>
    <t xml:space="preserve">debate-analysis</t>
  </si>
  <si>
    <t xml:space="preserve">components/DebateAnalysisPanel.tsx</t>
  </si>
  <si>
    <t xml:space="preserve">[Рабочий прототип] Компонент 306 строк — полноценная реализация. данные из: kernel-сервисы. i18n есть (11 вызовов t()). unit-теста нет.</t>
  </si>
  <si>
    <t xml:space="preserve">Debate History</t>
  </si>
  <si>
    <t xml:space="preserve">debate-history</t>
  </si>
  <si>
    <t xml:space="preserve">components/DebatePanel/DebateHistoryPage.tsx</t>
  </si>
  <si>
    <t xml:space="preserve">[Рабочий прототип] Компонент 92 строк — компактная, но рабочая панель. данные из: kernel-сервисы. i18n есть (3 вызовов t()). unit-теста нет.</t>
  </si>
  <si>
    <t xml:space="preserve">Debates Manager</t>
  </si>
  <si>
    <t xml:space="preserve">debates-manager</t>
  </si>
  <si>
    <t xml:space="preserve">components/DebatesManagerPanel.tsx</t>
  </si>
  <si>
    <t xml:space="preserve">[Почти готова] DebatesManagerPanel — 32 тыс. символов (~800 строк), крупная панель управления сессиями, тест есть. Одна из самых нагруженных панелей раздела Debates.</t>
  </si>
  <si>
    <t xml:space="preserve">Topics</t>
  </si>
  <si>
    <t xml:space="preserve">topics</t>
  </si>
  <si>
    <t xml:space="preserve">components/TopicSuggesterPanel.tsx</t>
  </si>
  <si>
    <t xml:space="preserve">[Рабочий прототип] TopicSuggesterPanel — предлагает темы дебатов, работает поверх kernel/utils/topic-suggestions.ts. placeholder-атрибуты инпутов. Теста нет.</t>
  </si>
  <si>
    <t xml:space="preserve">Debate Templates</t>
  </si>
  <si>
    <t xml:space="preserve">debate-templates</t>
  </si>
  <si>
    <t xml:space="preserve">components/DebateTemplatesPanel.tsx</t>
  </si>
  <si>
    <t xml:space="preserve">[Черновик] Компонент 183 строк — солидный средний размер. данные из: kernel-сервисы. строки захардкожены без i18n. unit-теста нет.</t>
  </si>
  <si>
    <t xml:space="preserve">Debate Quality</t>
  </si>
  <si>
    <t xml:space="preserve">debate-quality</t>
  </si>
  <si>
    <t xml:space="preserve">components/DebateQualityPanel.tsx</t>
  </si>
  <si>
    <t xml:space="preserve">[Рабочий прототип] Компонент 480 строк — полноценная реализация. данные из: kernel-сервисы. i18n есть (11 вызовов t()). unit-теста нет.</t>
  </si>
  <si>
    <t xml:space="preserve">Quality Impact</t>
  </si>
  <si>
    <t xml:space="preserve">quality-impact</t>
  </si>
  <si>
    <t xml:space="preserve">components/QualityImpactDashboard/QualityImpactDashboardPanel.tsx</t>
  </si>
  <si>
    <t xml:space="preserve">[Почти готова] Обёртка 47 строк, но за ней папка QualityImpactDashboard/ (3 полноценные табы: Experiments 516 строк, Impact 317, Export 205 — всего ~1.1 тыс. строк) с kernel-коллектором качества и i18n. Отдельного теста нет — это главный минус.</t>
  </si>
  <si>
    <t xml:space="preserve">Steelman</t>
  </si>
  <si>
    <t xml:space="preserve">steelman</t>
  </si>
  <si>
    <t xml:space="preserve">Techniques (переехала из Debates)</t>
  </si>
  <si>
    <t xml:space="preserve">components/SteelmanPanel/SteelmanPanel.tsx</t>
  </si>
  <si>
    <t xml:space="preserve">[Почти готова] Компонент 153 строк — солидный средний размер. данные из: kernel-сервисы, прямое создание сервисов, хуки живых данных (useRealAgents/useDebateArguments). i18n есть (2 вызовов t()). unit-тест есть.</t>
  </si>
  <si>
    <t xml:space="preserve">Bayesian Judge</t>
  </si>
  <si>
    <t xml:space="preserve">bayesian-judge</t>
  </si>
  <si>
    <t xml:space="preserve">components/BayesianJudgePanel/BayesianJudgePanel.tsx</t>
  </si>
  <si>
    <t xml:space="preserve">[Почти готова] Компонент 156 строк — солидный средний размер. данные из: kernel-сервисы, хуки живых данных (useRealAgents/useDebateArguments). i18n есть (2 вызовов t()). unit-тест есть.</t>
  </si>
  <si>
    <t xml:space="preserve">Blind Eval</t>
  </si>
  <si>
    <t xml:space="preserve">blind-eval</t>
  </si>
  <si>
    <t xml:space="preserve">components/BlindEvalPanel/BlindEvalPanel.tsx</t>
  </si>
  <si>
    <t xml:space="preserve">[Почти готова] Компонент 119 строк — компактная, но рабочая панель. данные из: kernel-сервисы, прямое создание сервисов, хуки живых данных (useRealAgents/useDebateArguments). i18n есть (2 вызовов t()). unit-тест есть.</t>
  </si>
  <si>
    <t xml:space="preserve">Credibility</t>
  </si>
  <si>
    <t xml:space="preserve">credibility</t>
  </si>
  <si>
    <t xml:space="preserve">components/CredibilityPanel/CredibilityPanel.tsx</t>
  </si>
  <si>
    <t xml:space="preserve">[Рабочий прототип] Компонент 80 строк — компактная, но рабочая панель. данные из: kernel-сервисы. i18n есть (1 вызовов t()). unit-тест есть.</t>
  </si>
  <si>
    <t xml:space="preserve">Calibration</t>
  </si>
  <si>
    <t xml:space="preserve">calibration</t>
  </si>
  <si>
    <t xml:space="preserve">components/CalibrationPanel/CalibrationPanel.tsx</t>
  </si>
  <si>
    <t xml:space="preserve">[Почти готова] Компонент 127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</si>
  <si>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Consistency</t>
  </si>
  <si>
    <t xml:space="preserve">consistency</t>
  </si>
  <si>
    <t xml:space="preserve">components/ConsistencyPanel/ConsistencyPanel.tsx</t>
  </si>
  <si>
    <t xml:space="preserve">[Почти готова] Компонент 105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</si>
  <si>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Frame Tracker</t>
  </si>
  <si>
    <t xml:space="preserve">frame-tracker</t>
  </si>
  <si>
    <t xml:space="preserve">components/FrameTrackerPanel/FrameTrackerPanel.tsx</t>
  </si>
  <si>
    <t xml:space="preserve">[Почти готова] Компонент 140 строк — компактная, но рабочая панель. данные из: kernel-сервисы, хуки живых данных (useRealAgents/useDebateArguments). i18n есть (2 вызовов t()). unit-тест есть.</t>
  </si>
  <si>
    <t xml:space="preserve">Stance Drift</t>
  </si>
  <si>
    <t xml:space="preserve">stance-drift</t>
  </si>
  <si>
    <t xml:space="preserve">components/StanceDriftPanel/StanceDriftPanel.tsx</t>
  </si>
  <si>
    <t xml:space="preserve">[Почти готова] Компонент 153 строк — солидный средний размер. данные из: kernel-сервисы, хуки живых данных (useRealAgents/useDebateArguments). i18n есть (2 вызовов t()). unit-тест есть.</t>
  </si>
  <si>
    <t xml:space="preserve">Insight Bus</t>
  </si>
  <si>
    <t xml:space="preserve">insight-bus</t>
  </si>
  <si>
    <t xml:space="preserve">components/InsightBusPanel/InsightBusPanel.tsx</t>
  </si>
  <si>
    <t xml:space="preserve">[Почти готова] Компонент 117 строк — компактная, но рабочая панель. данные из: kernel-сервисы, хуки живых данных (useRealAgents/useDebateArguments). i18n есть (2 вызовов t()). unit-тест есть.</t>
  </si>
  <si>
    <t xml:space="preserve">Entanglement</t>
  </si>
  <si>
    <t xml:space="preserve">entanglement</t>
  </si>
  <si>
    <t xml:space="preserve">components/EntanglementPanel/EntanglementPanel.tsx</t>
  </si>
  <si>
    <t xml:space="preserve">[Почти готова] Помечена в реестре как status:'planned' + experimental — единственная панель выборки с официальным признаком незавершённости. Компонент существует (EntanglementPanel), но закладывать на неё продуктовые ожидания нельзя. Помечена experimental в реестре.</t>
  </si>
  <si>
    <t xml:space="preserve">Anchoring</t>
  </si>
  <si>
    <t xml:space="preserve">anchoring</t>
  </si>
  <si>
    <t xml:space="preserve">components/AnchoringPanel/AnchoringPanel.tsx</t>
  </si>
  <si>
    <t xml:space="preserve">[Почти готова] Компонент 124 строк — компактная, но рабочая панель. данные из: kernel-сервисы, прямое создание сервисов, хуки живых данных (useRealAgents/useDebateArguments). i18n есть (2 вызовов t()). unit-тест есть.</t>
  </si>
  <si>
    <t xml:space="preserve">Meta Agent</t>
  </si>
  <si>
    <t xml:space="preserve">meta-agent</t>
  </si>
  <si>
    <t xml:space="preserve">components/MetaAgentPanel/MetaAgentPanel.tsx</t>
  </si>
  <si>
    <t xml:space="preserve">[Почти готова] Компонент 125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</si>
  <si>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Outcome Forecaster</t>
  </si>
  <si>
    <t xml:space="preserve">outcome-forecaster</t>
  </si>
  <si>
    <t xml:space="preserve">components/OutcomeForecasterPanel/OutcomeForecasterPanel.tsx</t>
  </si>
  <si>
    <t xml:space="preserve">[Рабочий прототип] Компонент 91 строк — компактная, но рабочая панель. данные из: kernel-сервисы. i18n есть (1 вызовов t()). unit-тест есть.</t>
  </si>
  <si>
    <t xml:space="preserve">Concept Blender</t>
  </si>
  <si>
    <t xml:space="preserve">concept-blender</t>
  </si>
  <si>
    <t xml:space="preserve">components/ConceptBlenderPanel/ConceptBlenderPanel.tsx</t>
  </si>
  <si>
    <t xml:space="preserve">[Почти готова] Компонент 139 строк — компактная, но рабочая панель. данные из: kernel-сервисы, хуки живых данных (useRealAgents/useDebateArguments). i18n есть (1 вызовов t()). unit-тест есть.</t>
  </si>
  <si>
    <t xml:space="preserve">Belief Mining</t>
  </si>
  <si>
    <t xml:space="preserve">belief-mining</t>
  </si>
  <si>
    <t xml:space="preserve">components/BeliefMiningPanel/BeliefMiningPanel.tsx</t>
  </si>
  <si>
    <t xml:space="preserve">[Почти готова] Компонент 135 строк — компактная, но рабочая панель. данные из: kernel-сервисы, прямое создание сервисов, хуки живых данных (useRealAgents/useDebateArguments). i18n есть (2 вызовов t()). unit-тест есть.</t>
  </si>
  <si>
    <t xml:space="preserve">Minimax Planner</t>
  </si>
  <si>
    <t xml:space="preserve">minimax-planner</t>
  </si>
  <si>
    <t xml:space="preserve">components/MinimaxPlannerPanel/MinimaxPlannerPanel.tsx</t>
  </si>
  <si>
    <t xml:space="preserve">[Почти готова] Компонент 140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</si>
  <si>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Expert Witness</t>
  </si>
  <si>
    <t xml:space="preserve">expert-witness</t>
  </si>
  <si>
    <t xml:space="preserve">components/ExpertWitnessPanel/ExpertWitnessPanel.tsx</t>
  </si>
  <si>
    <t xml:space="preserve">[Почти готова] Компонент 100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</si>
  <si>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Rhetoric</t>
  </si>
  <si>
    <t xml:space="preserve">rhetoric</t>
  </si>
  <si>
    <t xml:space="preserve">components/RhetoricPanel/RhetoricPanel.tsx</t>
  </si>
  <si>
    <t xml:space="preserve">[Рабочий прототип] Компонент 84 строк — компактная, но рабочая панель. данные из: kernel-сервисы. i18n есть (1 вызовов t()). unit-тест есть.</t>
  </si>
  <si>
    <t xml:space="preserve">Bias Profiler</t>
  </si>
  <si>
    <t xml:space="preserve">bias-profiler</t>
  </si>
  <si>
    <t xml:space="preserve">components/BiasProfilerPanel/BiasProfilerPanel.tsx</t>
  </si>
  <si>
    <t xml:space="preserve">[Почти готова] Компонент 136 строк — компактная, но рабочая панель. данные из: kernel-сервисы, хуки живых данных (useRealAgents/useDebateArguments). i18n есть (2 вызовов t()). unit-тест есть.</t>
  </si>
  <si>
    <t xml:space="preserve">Incentive Detector</t>
  </si>
  <si>
    <t xml:space="preserve">incentive-detector</t>
  </si>
  <si>
    <t xml:space="preserve">components/IncentiveDetectorPanel/IncentiveDetectorPanel.tsx</t>
  </si>
  <si>
    <t xml:space="preserve">[Почти готова] Компонент 116 строк — компактная, но рабочая панель. данные из: kernel-сервисы, хуки живых данных (useRealAgents/useDebateArguments). i18n есть (2 вызовов t()). unit-тест есть.</t>
  </si>
  <si>
    <t xml:space="preserve">Stakeholder</t>
  </si>
  <si>
    <t xml:space="preserve">stakeholder</t>
  </si>
  <si>
    <t xml:space="preserve">components/StakeholderPanel/StakeholderPanel.tsx</t>
  </si>
  <si>
    <t xml:space="preserve">[Рабочий прототип] Компонент 82 строк — компактная, но рабочая панель. данные из: kernel-сервисы. i18n есть (1 вызовов t()). unit-тест есть.</t>
  </si>
  <si>
    <t xml:space="preserve">Scratchpad</t>
  </si>
  <si>
    <t xml:space="preserve">scratchpad</t>
  </si>
  <si>
    <t xml:space="preserve">components/ScratchpadPanel/ScratchpadPanel.tsx</t>
  </si>
  <si>
    <t xml:space="preserve">[Почти готова] Типичный представитель техник-панелей: ScratchpadService из kernel, useRealAgents + useDebateArguments (живые аргументы), i18n, пустые состояния обработаны. Сгенерирована генератором gen-technique-panels.mjs, у всех 31 техники-панели есть тест и smoke-проверка бандла.</t>
  </si>
  <si>
    <t xml:space="preserve">Persona Mixer</t>
  </si>
  <si>
    <t xml:space="preserve">persona-mixer</t>
  </si>
  <si>
    <t xml:space="preserve">components/PersonaMixerPanel/PersonaMixerPanel.tsx</t>
  </si>
  <si>
    <t xml:space="preserve">[Почти готова] Компонент 130 строк — компактная, но рабочая панель. данные из: kernel-сервисы, хуки живых данных (useRealAgents/useDebateArguments). i18n есть (1 вызовов t()). unit-тест есть.</t>
  </si>
  <si>
    <t xml:space="preserve">BoP Tracker</t>
  </si>
  <si>
    <t xml:space="preserve">bop-tracker</t>
  </si>
  <si>
    <t xml:space="preserve">components/BoPTrackerPanel/BoPTrackerPanel.tsx</t>
  </si>
  <si>
    <t xml:space="preserve">[Почти готова] Компонент 137 строк — компактная, но рабочая панель. данные из: kernel-сервисы, прямое создание сервисов, хуки живых данных (useRealAgents/useDebateArguments). i18n есть (1 вызовов t()). unit-тест есть.</t>
  </si>
  <si>
    <t xml:space="preserve">GoT Deliberation</t>
  </si>
  <si>
    <t xml:space="preserve">got-deliberation</t>
  </si>
  <si>
    <t xml:space="preserve">components/GoTDeliberationPanel/GoTDeliberationPanel.tsx</t>
  </si>
  <si>
    <t xml:space="preserve">[Рабочий прототип] Компонент 92 строк — компактная, но рабочая панель. данные из: kernel-сервисы. i18n есть (1 вызовов t()). unit-тест есть.</t>
  </si>
  <si>
    <t xml:space="preserve">Similarity</t>
  </si>
  <si>
    <t xml:space="preserve">similarity</t>
  </si>
  <si>
    <t xml:space="preserve">components/SimilarityPanel/SimilarityPanel.tsx</t>
  </si>
  <si>
    <t xml:space="preserve">[Почти готова] Компонент 134 строк — компактная, но рабочая панель. данные из: kernel-сервисы, хуки живых данных (useRealAgents/useDebateArguments). i18n есть (2 вызовов t()). unit-тест есть.</t>
  </si>
  <si>
    <t xml:space="preserve">Drift Detector</t>
  </si>
  <si>
    <t xml:space="preserve">drift-detector</t>
  </si>
  <si>
    <t xml:space="preserve">components/DriftDetectorPanel/DriftDetectorPanel.tsx</t>
  </si>
  <si>
    <t xml:space="preserve">[Почти готова] Компонент 434 строк — полноценная реализация. данные из: kernel-сервисы, хуки живых данных (useRealAgents/useDebateArguments). i18n есть (1 вызовов t()). unit-тест есть.</t>
  </si>
  <si>
    <t xml:space="preserve">Shadow Opponent</t>
  </si>
  <si>
    <t xml:space="preserve">shadow-opponent</t>
  </si>
  <si>
    <t xml:space="preserve">components/ShadowOpponentPanel/ShadowOpponentPanel.tsx</t>
  </si>
  <si>
    <t xml:space="preserve">[Почти готова] Компонент 465 строк — полноценная реализация. данные из: kernel-сервисы, прямое создание сервисов, хуки живых данных (useRealAgents/useDebateArguments). i18n есть (2 вызовов t()). unit-тест есть.</t>
  </si>
  <si>
    <t xml:space="preserve">Adversarial Source</t>
  </si>
  <si>
    <t xml:space="preserve">adversarial-source</t>
  </si>
  <si>
    <t xml:space="preserve">components/AdversarialSourcePanel/AdversarialSourcePanel.tsx</t>
  </si>
  <si>
    <t xml:space="preserve">[Почти готова] Компонент 357 строк — полноценная реализация. данные из: kernel-сервисы, прямое создание сервисов, хуки живых данных (useRealAgents/useDebateArguments). i18n есть (1 вызовов t()). unit-тест есть.</t>
  </si>
  <si>
    <t xml:space="preserve">Vuln Targeting</t>
  </si>
  <si>
    <t xml:space="preserve">vuln-targeting</t>
  </si>
  <si>
    <t xml:space="preserve">components/VulnTargetingPanel/VulnTargetingPanel.tsx</t>
  </si>
  <si>
    <t xml:space="preserve">[Почти готова] Компонент 434 строк — полноценная реализация. данные из: kernel-сервисы, прямое создание сервисов, хуки живых данных (useRealAgents/useDebateArguments). i18n есть (2 вызовов t()). unit-тест есть.</t>
  </si>
  <si>
    <t xml:space="preserve">Justification</t>
  </si>
  <si>
    <t xml:space="preserve">justification</t>
  </si>
  <si>
    <t xml:space="preserve">components/JustificationPanel/JustificationPanel.tsx</t>
  </si>
  <si>
    <t xml:space="preserve">[Почти готова] Компонент 296 строк — солидный средний размер. данные из: kernel-сервисы, хуки живых данных (useRealAgents/useDebateArguments). i18n есть (2 вызовов t()). unit-тест есть.</t>
  </si>
  <si>
    <t xml:space="preserve">Logical Form</t>
  </si>
  <si>
    <t xml:space="preserve">logical-form</t>
  </si>
  <si>
    <t xml:space="preserve">components/LogicalFormPanel/LogicalFormPanel.tsx</t>
  </si>
  <si>
    <t xml:space="preserve">[Почти готова] Компонент 426 строк — полноценная реализация. данные из: kernel-сервисы, хуки живых данных (useRealAgents/useDebateArguments). i18n есть (1 вызовов t()). unit-тест есть.</t>
  </si>
  <si>
    <t xml:space="preserve">Среднее по 65 панелям</t>
  </si>
  <si>
    <t xml:space="preserve">Развёрнутый аудит проекта (без панелей)</t>
  </si>
  <si>
    <t xml:space="preserve">Направление</t>
  </si>
  <si>
    <t xml:space="preserve">Оценка</t>
  </si>
  <si>
    <t xml:space="preserve">Развёрнутый комментарий</t>
  </si>
  <si>
    <t xml:space="preserve">Архитектура ядра</t>
  </si>
  <si>
    <t xml:space="preserve">Kernel построен контейнерно: container.ts (216 строк, DI-регистрация), SystemKernel с чистым reduce() для всех мутаций (kernel.ts, 651 строка) и типизированный EventBus (525 строк; onSafe-подписки с изоляцией ошибок). Событийный реестр вырос до ≈543 типизированных событий. Регистрация сервисов разложена на 50+ фаз-модулей (phase0-event-bridge … phase67-channels), у цепочек фаз есть собственные chain-тесты. Слои UI → Application → Kernel → Infrastructure принуждаются dependency-cruiser'ом в CI, madge следит за циклами в kernel. Минусы: количество фаз регистрации уже превышает разумный порог (риск «архитектурного мусора»), а kv-таблицы Dexie используются как быстрая свалка для новых фич в обход схемы.</t>
  </si>
  <si>
    <t xml:space="preserve">Слой данных (Dexie/DAL)</t>
  </si>
  <si>
    <t xml:space="preserve">Dexie v34: 98 таблиц с аддитивной схемой миграций v1→v34, изолированный DAL-слой с репозиториями на каждую доменную область (debate-, council-, memory-, key-, trace-репозитории и др.), у ключевых миграций есть тесты (key-migration.test, scenario-migration.test, debate-timeline-repository.test). Данные local-first в IndexedDB, тяжёлые операции вынесены в Web Workers (memory.worker, sandbox.worker). Минусы: фазы H–Q (по признанию INVENTORY_REPORT.md) пишут только в безымянные kv-таблицы — данные существуют вне схемы; история миграций v23→v34 прошла через «режим без проверок», поэтому MIGRATION_SAFETY_AUDIT.md ведётся постфактум.</t>
  </si>
  <si>
    <t xml:space="preserve">LLM-слой</t>
  </si>
  <si>
    <t xml:space="preserve">Самый зрелый слой: adapter-factory регистрирует ~30 адаптеров (13 семейств: Gemini, OpenRouter, Groq, NVIDIA NIM, OpenAI-compatible, DeepSeek, Qwen, Kimi, MiniMax, Cerebras, Cloudflare и др.). Поверх адаптеров — полноценный стек декораторов: retry, cache, rate-limit, circuit-breaker, fallback, cost-manager, priority-queue, canary-router, semantic-router, compress-route. Собственный SSE-парсер с тестами, middleware-pipeline, flyweight-кэш, token-counter и health-check'и провайдеров (gemini-health, provider-fleet-health). Розыск улучшений: мультипровайдерные фолбэки и кана-роутинг редко встречаются даже в коммерческих проектах.</t>
  </si>
  <si>
    <t xml:space="preserve">Сборка и CI/CD</t>
  </si>
  <si>
    <t xml:space="preserve">GitHub Actions: 8 джоб — строгий typecheck (tsc -b --noEmit с защитой от «solution-style» ложного зелёного), ESLint (0 ошибок, порог warnings 250), production-build с контролем размера бандла (warning &gt;30 МБ), vitest, scoped coverage (пороги 30/20%), npm audit (critical), проверка циклических зависимостей kernel (madge), правила слоёв (dependency-cruiser), Playwright e2e и автодеплой GitHub Pages с загрузкой sourcemaps в Sentry/Datadog (скрытые maps, безопасный dist). Commitlint + husky, multi-stage Dockerfile на nginx-unprivileged. Качество пайплайна — уровня зрелой продуктовой команды.</t>
  </si>
  <si>
    <t xml:space="preserve">Тестирование</t>
  </si>
  <si>
    <t xml:space="preserve">365 тест-файлов на 2 663 файла (~14%): vitest + Testing Library, у 41 из 65 аудит-панелей есть собственный unit-тест, smoke-тест покрывает весь technique-бандл (58 панелей), есть integration.test.ts ядра и CI-гейт паритета i18n-ключей. Но: e2e — единственная базовая спека (26 строк) на 227 панелей; coverage считается только по stores/hooks/kernel-events/workers/container, потому что полный прогон «OOM на некоторых файлах»; сервисы kernel (882 файла) покрыты фрагментарно; скриншот- и визуальных тестов нет.</t>
  </si>
  <si>
    <t xml:space="preserve">Безопасность</t>
  </si>
  <si>
    <t xml:space="preserve">Сильные стороны: SecurityService на AES-GCM (PBKDF2 100 000 итераций, сменяемый пароль с ре-шифрованием), key-vault с encryptAllKeys и запретом plaintext-экспорта («Vault locked»), санитизация API-ключей по регекспам 9 провайдеров в логах/экспорте, DOMPurify для HTML, sandbox выключен по умолчанию с явным предупреждением о CSP, nginx fail-closed без настроенного прокси (SEC-07). Слабые: ключи по умолчанию хранятся в IndexedDB в открытом виде (vault опционален); npm audit понижен до critical; включение sandbox требует unsafe-eval; SYNC_SECRET sync-сервера настраивается вручную.</t>
  </si>
  <si>
    <t xml:space="preserve">i18n (EN/RU)</t>
  </si>
  <si>
    <t xml:space="preserve">Двуязычность — первоклассный гражданин репозитория: CI-тест паритета падает при расхождении ключей en/ru, переводы техник-панелей автогенерируются сразу в двух локалях (techniques.ts), есть скрипты sync-ru/rebuild-ru, подпись теста — «чтобы русский пользователь не увидел сырой ключ». Минус: 9 из 65 аудит-панелей (budget-alerts, key-usage-analytics, contribution-graph, debate-replay, debate-tournament, audience, argument-graph, strategy-builder, debate-templates) написали строки мимо системы; в коде встречаются единичные русские строки в EN-сборке.</t>
  </si>
  <si>
    <t xml:space="preserve">Документация</t>
  </si>
  <si>
    <t xml:space="preserve">Исключительно высокий уровень саморефлексии: ~70+ документов — README (411 строк с честными security-заметками), INVENTORY_REPORT с инвентаризацией 100+ покрытых паттернов (CrewAI/LangGraph/AutoGen/n8n…) с точными путями и номерами строк, SYSTEM_MANIFEST, USER_CONTROL_MAP, десятки аудит-отчётов (N2–N4, D4.x, debate-audits), roadmap-дерево и исследования дизайна. Минусы: PANEL_MAP.md устарел и внутренне противоречив (заявлено 57, перечислено 65, секции реорганизованы), docs/ разрослись без ретро-чистки (errrrrorr.md и т.п.).</t>
  </si>
  <si>
    <t xml:space="preserve">Техдолг и гигиена</t>
  </si>
  <si>
    <t xml:space="preserve">Главный риск — задокументированный режим «пишем без проверок» (SUMMARY.md): typecheck/build/tests отложены на «сильный ПК», т.е. часть недавнего кода физически ещё не проходила компиляцию. В репо существует лазейка build:skip-typecheck. 202 ESLint-warning (React Compiler strictness) движутся вниз, TODO/FIXME в src всего 2 — код чистый. Масштаб (227 панелей, 98 таблиц, 543 события) опережает возможности сопровождения: PANEL_MAP рассинхронизирован, часть фаз живёт только на kv. Положительно: DEBT_REPORT.md ведётся, husky+commitlint, кастомные ESLint-правила (запрет сырых цветов, обязательный lifecycle).</t>
  </si>
  <si>
    <t xml:space="preserve">UX-консистентность</t>
  </si>
  <si>
    <t xml:space="preserve">Единая тёмная тема на CSS-переменных (--slate-*, --accent), ErrorBoundary + Suspense-скелетон (PanelSkeleton) на каждом ленивом роуте, ModuleInfo-подсказки в панелях, пустые состояния («Нет доступных агентов», «Нет активного дебата») вместо синтетических демо-данных — useRealAgents документированно «никогда не синтезирует демо-агентов». Минусы: десятки инлайн-стилей на панель (против этого даже есть кастомное ESLint-правило rule-no-raw-style-color, но оно не побеждает), мобильная готовность только аудируется (MOBILE_AUDIT_PHASE1), 227 пунктов меню требуют UX-ревизии (33 заглушки уже свернуты в Experimental — правильный ход).</t>
  </si>
  <si>
    <t xml:space="preserve">ИТОГ по инфраструктуре</t>
  </si>
  <si>
    <t xml:space="preserve">Сводная оценка проекта: 7.5 / 10 (50% панели 7.1 + 50% инфраструктура). Вывод: зрелая инженерная платформа с редкой для solo-проекта дисциплиной; основные вложения требуются в e2e-покрытие, финальный проверочный прогон и UX-ревизию навигации.</t>
  </si>
  <si>
    <t xml:space="preserve">Кросс-проверки отчёта</t>
  </si>
  <si>
    <t xml:space="preserve">Проверка</t>
  </si>
  <si>
    <t xml:space="preserve">Ожидание</t>
  </si>
  <si>
    <t xml:space="preserve">Факт</t>
  </si>
  <si>
    <t xml:space="preserve">Статус</t>
  </si>
  <si>
    <t xml:space="preserve">Количество панелей в листе «Панели»</t>
  </si>
  <si>
    <t xml:space="preserve">Панелей раздела Dashboard</t>
  </si>
  <si>
    <t xml:space="preserve">Панелей раздела Chat</t>
  </si>
  <si>
    <t xml:space="preserve">Панелей раздела Debates</t>
  </si>
  <si>
    <t xml:space="preserve">Средний ИТОГ панелей</t>
  </si>
  <si>
    <t xml:space="preserve">Оценок ИТОГ вне диапазона 0–10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</si>
</sst>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#,##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2"/>
      <color rgb="FF000000"/>
      <name val="Noto Sans CJK SC"/>
      <family val="2"/>
    </font>
    <font>
      <sz val="10"/>
      <color rgb="FF000000"/>
      <name val="Calibri"/>
      <family val="2"/>
    </font>
    <font>
      <sz val="11"/>
      <color rgb="FF1B7D46"/>
      <name val="Noto Sans CJK SC"/>
      <family val="0"/>
      <charset val="1"/>
    </font>
    <font>
      <sz val="11"/>
      <color rgb="FF1B2A4A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7F7F5"/>
        <bgColor rgb="FFF9F9F9"/>
      </patternFill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1B7D46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78787"/>
      <rgbColor rgb="FF9999FF"/>
      <rgbColor rgb="FF993366"/>
      <rgbColor rgb="FFF7F7F5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F81BD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Средний балл готовности по разделам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Сводка!G31</c:f>
              <c:strCache>
                <c:ptCount val="1"/>
                <c:pt idx="0">
                  <c:v>Тесты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Сводка!$B$32:$B$34</c:f>
              <c:strCache>
                <c:ptCount val="3"/>
                <c:pt idx="0">
                  <c:v>Dashboard</c:v>
                </c:pt>
                <c:pt idx="1">
                  <c:v>Chat</c:v>
                </c:pt>
                <c:pt idx="2">
                  <c:v>Debates</c:v>
                </c:pt>
              </c:strCache>
            </c:strRef>
          </c:cat>
          <c:val>
            <c:numRef>
              <c:f>Сводка!$G$32:$G$34</c:f>
              <c:numCache>
                <c:formatCode>0.0</c:formatCode>
                <c:ptCount val="3"/>
                <c:pt idx="0">
                  <c:v>5.6</c:v>
                </c:pt>
                <c:pt idx="1">
                  <c:v>7</c:v>
                </c:pt>
                <c:pt idx="2">
                  <c:v>7.6</c:v>
                </c:pt>
              </c:numCache>
            </c:numRef>
          </c:val>
        </c:ser>
        <c:gapWidth val="80"/>
        <c:overlap val="100"/>
        <c:axId val="84824288"/>
        <c:axId val="8964564"/>
      </c:barChart>
      <c:catAx>
        <c:axId val="84824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64564"/>
        <c:crosses val="autoZero"/>
        <c:auto val="1"/>
        <c:lblAlgn val="ctr"/>
        <c:lblOffset val="100"/>
        <c:noMultiLvlLbl val="0"/>
      </c:catAx>
      <c:valAx>
        <c:axId val="8964564"/>
        <c:scaling>
          <c:orientation val="minMax"/>
          <c:max val="10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824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0</xdr:rowOff>
    </xdr:from>
    <xdr:to>
      <xdr:col>2</xdr:col>
      <xdr:colOff>2000880</xdr:colOff>
      <xdr:row>49</xdr:row>
      <xdr:rowOff>32400</xdr:rowOff>
    </xdr:to>
    <xdr:graphicFrame>
      <xdr:nvGraphicFramePr>
        <xdr:cNvPr id="0" name="Chart 1"/>
        <xdr:cNvGraphicFramePr/>
      </xdr:nvGraphicFramePr>
      <xdr:xfrm>
        <a:off x="211320" y="891540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78"/>
    <col collapsed="false" customWidth="true" hidden="false" outlineLevel="0" max="7" min="4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4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</row>
    <row r="8" customFormat="false" ht="15" hidden="false" customHeight="false" outlineLevel="0" collapsed="false">
      <c r="B8" s="5" t="s">
        <v>8</v>
      </c>
      <c r="C8" s="5" t="s">
        <v>9</v>
      </c>
    </row>
    <row r="9" customFormat="false" ht="33.75" hidden="false" customHeight="true" outlineLevel="0" collapsed="false">
      <c r="B9" s="4" t="s">
        <v>10</v>
      </c>
      <c r="C9" s="6" t="s">
        <v>11</v>
      </c>
    </row>
    <row r="10" customFormat="false" ht="48" hidden="false" customHeight="true" outlineLevel="0" collapsed="false">
      <c r="B10" s="5" t="s">
        <v>12</v>
      </c>
      <c r="C10" s="7" t="s">
        <v>13</v>
      </c>
    </row>
    <row r="12" customFormat="false" ht="21.75" hidden="false" customHeight="true" outlineLevel="0" collapsed="false">
      <c r="B12" s="3" t="s">
        <v>14</v>
      </c>
      <c r="C12" s="3"/>
      <c r="D12" s="3"/>
      <c r="E12" s="3"/>
      <c r="F12" s="3"/>
      <c r="G12" s="3"/>
    </row>
    <row r="13" customFormat="false" ht="15" hidden="false" customHeight="false" outlineLevel="0" collapsed="false">
      <c r="B13" s="4" t="s">
        <v>15</v>
      </c>
      <c r="C13" s="4" t="s">
        <v>16</v>
      </c>
    </row>
    <row r="14" customFormat="false" ht="15" hidden="false" customHeight="false" outlineLevel="0" collapsed="false">
      <c r="B14" s="5" t="s">
        <v>17</v>
      </c>
      <c r="C14" s="5" t="s">
        <v>18</v>
      </c>
    </row>
    <row r="15" customFormat="false" ht="15" hidden="false" customHeight="false" outlineLevel="0" collapsed="false">
      <c r="B15" s="4" t="s">
        <v>19</v>
      </c>
      <c r="C15" s="4" t="s">
        <v>20</v>
      </c>
    </row>
    <row r="16" customFormat="false" ht="15" hidden="false" customHeight="false" outlineLevel="0" collapsed="false">
      <c r="B16" s="5" t="s">
        <v>21</v>
      </c>
      <c r="C16" s="5" t="s">
        <v>22</v>
      </c>
    </row>
    <row r="17" customFormat="false" ht="15" hidden="false" customHeight="false" outlineLevel="0" collapsed="false">
      <c r="B17" s="4" t="s">
        <v>23</v>
      </c>
      <c r="C17" s="4" t="s">
        <v>24</v>
      </c>
    </row>
    <row r="18" customFormat="false" ht="15" hidden="false" customHeight="false" outlineLevel="0" collapsed="false">
      <c r="B18" s="5" t="s">
        <v>25</v>
      </c>
      <c r="C18" s="5" t="s">
        <v>26</v>
      </c>
    </row>
    <row r="19" customFormat="false" ht="15" hidden="false" customHeight="false" outlineLevel="0" collapsed="false">
      <c r="B19" s="4" t="s">
        <v>27</v>
      </c>
      <c r="C19" s="4" t="s">
        <v>28</v>
      </c>
    </row>
    <row r="20" customFormat="false" ht="15" hidden="false" customHeight="false" outlineLevel="0" collapsed="false">
      <c r="B20" s="5" t="s">
        <v>29</v>
      </c>
      <c r="C20" s="5" t="s">
        <v>30</v>
      </c>
    </row>
    <row r="21" customFormat="false" ht="15" hidden="false" customHeight="false" outlineLevel="0" collapsed="false">
      <c r="B21" s="4" t="s">
        <v>31</v>
      </c>
      <c r="C21" s="4" t="s">
        <v>32</v>
      </c>
    </row>
    <row r="23" customFormat="false" ht="21.75" hidden="false" customHeight="true" outlineLevel="0" collapsed="false">
      <c r="B23" s="3" t="s">
        <v>33</v>
      </c>
      <c r="C23" s="3"/>
      <c r="D23" s="3"/>
      <c r="E23" s="3"/>
      <c r="F23" s="3"/>
      <c r="G23" s="3"/>
    </row>
    <row r="24" customFormat="false" ht="15" hidden="false" customHeight="false" outlineLevel="0" collapsed="false">
      <c r="B24" s="4" t="s">
        <v>34</v>
      </c>
      <c r="C24" s="4" t="s">
        <v>35</v>
      </c>
    </row>
    <row r="25" customFormat="false" ht="33.75" hidden="false" customHeight="true" outlineLevel="0" collapsed="false">
      <c r="B25" s="5" t="s">
        <v>36</v>
      </c>
      <c r="C25" s="7" t="s">
        <v>37</v>
      </c>
    </row>
    <row r="26" customFormat="false" ht="33.75" hidden="false" customHeight="true" outlineLevel="0" collapsed="false">
      <c r="B26" s="4" t="s">
        <v>38</v>
      </c>
      <c r="C26" s="6" t="s">
        <v>39</v>
      </c>
    </row>
    <row r="27" customFormat="false" ht="15" hidden="false" customHeight="false" outlineLevel="0" collapsed="false">
      <c r="B27" s="5" t="s">
        <v>40</v>
      </c>
      <c r="C27" s="5" t="s">
        <v>41</v>
      </c>
    </row>
    <row r="28" customFormat="false" ht="33.75" hidden="false" customHeight="true" outlineLevel="0" collapsed="false">
      <c r="B28" s="4" t="s">
        <v>42</v>
      </c>
      <c r="C28" s="6" t="s">
        <v>43</v>
      </c>
    </row>
    <row r="30" customFormat="false" ht="21.75" hidden="false" customHeight="true" outlineLevel="0" collapsed="false">
      <c r="B30" s="3" t="s">
        <v>44</v>
      </c>
      <c r="C30" s="3"/>
      <c r="D30" s="3"/>
      <c r="E30" s="3"/>
      <c r="F30" s="3"/>
      <c r="G30" s="3"/>
    </row>
    <row r="31" customFormat="false" ht="27.75" hidden="false" customHeight="true" outlineLevel="0" collapsed="false">
      <c r="B31" s="8" t="s">
        <v>45</v>
      </c>
      <c r="C31" s="8" t="s">
        <v>46</v>
      </c>
      <c r="D31" s="8" t="s">
        <v>47</v>
      </c>
      <c r="E31" s="8" t="s">
        <v>48</v>
      </c>
      <c r="F31" s="8" t="s">
        <v>49</v>
      </c>
      <c r="G31" s="8" t="s">
        <v>50</v>
      </c>
      <c r="H31" s="1" t="s">
        <v>42</v>
      </c>
    </row>
    <row r="32" customFormat="false" ht="21.75" hidden="false" customHeight="true" outlineLevel="0" collapsed="false">
      <c r="B32" s="9" t="s">
        <v>51</v>
      </c>
      <c r="C32" s="10" t="n">
        <v>11</v>
      </c>
      <c r="D32" s="11" t="n">
        <v>8.5</v>
      </c>
      <c r="E32" s="11" t="n">
        <v>4.3</v>
      </c>
      <c r="F32" s="11" t="n">
        <v>7.1</v>
      </c>
      <c r="G32" s="12" t="n">
        <v>5.6</v>
      </c>
      <c r="H32" s="1" t="n">
        <v>6.4</v>
      </c>
    </row>
    <row r="33" customFormat="false" ht="21.75" hidden="false" customHeight="true" outlineLevel="0" collapsed="false">
      <c r="B33" s="13" t="s">
        <v>52</v>
      </c>
      <c r="C33" s="14" t="n">
        <v>6</v>
      </c>
      <c r="D33" s="15" t="n">
        <v>8.9</v>
      </c>
      <c r="E33" s="15" t="n">
        <v>5.8</v>
      </c>
      <c r="F33" s="15" t="n">
        <v>8.1</v>
      </c>
      <c r="G33" s="15" t="n">
        <v>7</v>
      </c>
      <c r="H33" s="1" t="n">
        <v>7.4</v>
      </c>
    </row>
    <row r="34" customFormat="false" ht="21.75" hidden="false" customHeight="true" outlineLevel="0" collapsed="false">
      <c r="B34" s="9" t="s">
        <v>53</v>
      </c>
      <c r="C34" s="10" t="n">
        <v>48</v>
      </c>
      <c r="D34" s="11" t="n">
        <v>8</v>
      </c>
      <c r="E34" s="11" t="n">
        <v>6.1</v>
      </c>
      <c r="F34" s="11" t="n">
        <v>7.2</v>
      </c>
      <c r="G34" s="11" t="n">
        <v>7.6</v>
      </c>
      <c r="H34" s="1" t="n">
        <v>7.2</v>
      </c>
    </row>
    <row r="51" customFormat="false" ht="21.75" hidden="false" customHeight="true" outlineLevel="0" collapsed="false">
      <c r="B51" s="3" t="s">
        <v>54</v>
      </c>
      <c r="C51" s="3"/>
      <c r="D51" s="3"/>
      <c r="E51" s="3"/>
      <c r="F51" s="3"/>
      <c r="G51" s="3"/>
    </row>
    <row r="52" customFormat="false" ht="33.75" hidden="false" customHeight="true" outlineLevel="0" collapsed="false">
      <c r="B52" s="4" t="s">
        <v>55</v>
      </c>
      <c r="C52" s="6" t="s">
        <v>56</v>
      </c>
    </row>
    <row r="53" customFormat="false" ht="33.75" hidden="false" customHeight="true" outlineLevel="0" collapsed="false">
      <c r="B53" s="4" t="s">
        <v>57</v>
      </c>
      <c r="C53" s="6" t="s">
        <v>58</v>
      </c>
    </row>
    <row r="55" customFormat="false" ht="21.75" hidden="false" customHeight="true" outlineLevel="0" collapsed="false">
      <c r="B55" s="3" t="s">
        <v>59</v>
      </c>
      <c r="C55" s="3"/>
      <c r="D55" s="3"/>
      <c r="E55" s="3"/>
      <c r="F55" s="3"/>
      <c r="G55" s="3"/>
    </row>
    <row r="56" customFormat="false" ht="15" hidden="false" customHeight="false" outlineLevel="0" collapsed="false">
      <c r="B56" s="4" t="s">
        <v>60</v>
      </c>
      <c r="C56" s="4" t="s">
        <v>61</v>
      </c>
    </row>
    <row r="57" customFormat="false" ht="15" hidden="false" customHeight="false" outlineLevel="0" collapsed="false">
      <c r="B57" s="5" t="s">
        <v>62</v>
      </c>
      <c r="C57" s="5" t="s">
        <v>63</v>
      </c>
    </row>
    <row r="58" customFormat="false" ht="15" hidden="false" customHeight="false" outlineLevel="0" collapsed="false">
      <c r="B58" s="4" t="s">
        <v>64</v>
      </c>
      <c r="C58" s="4" t="s">
        <v>65</v>
      </c>
    </row>
    <row r="60" customFormat="false" ht="48" hidden="false" customHeight="true" outlineLevel="0" collapsed="false">
      <c r="B60" s="4" t="s">
        <v>66</v>
      </c>
      <c r="C60" s="6" t="s">
        <v>67</v>
      </c>
    </row>
    <row r="61" customFormat="false" ht="48" hidden="false" customHeight="true" outlineLevel="0" collapsed="false">
      <c r="B61" s="5" t="s">
        <v>68</v>
      </c>
      <c r="C61" s="7" t="s">
        <v>69</v>
      </c>
    </row>
    <row r="62" customFormat="false" ht="33.75" hidden="false" customHeight="true" outlineLevel="0" collapsed="false">
      <c r="B62" s="4" t="s">
        <v>70</v>
      </c>
      <c r="C62" s="6" t="s">
        <v>71</v>
      </c>
    </row>
    <row r="63" customFormat="false" ht="33.75" hidden="false" customHeight="true" outlineLevel="0" collapsed="false">
      <c r="B63" s="5" t="s">
        <v>72</v>
      </c>
      <c r="C63" s="7" t="s">
        <v>73</v>
      </c>
    </row>
    <row r="64" customFormat="false" ht="33.75" hidden="false" customHeight="true" outlineLevel="0" collapsed="false">
      <c r="B64" s="4" t="s">
        <v>74</v>
      </c>
      <c r="C64" s="6" t="s">
        <v>75</v>
      </c>
    </row>
  </sheetData>
  <mergeCells count="7">
    <mergeCell ref="B2:G2"/>
    <mergeCell ref="B4:G4"/>
    <mergeCell ref="B12:G12"/>
    <mergeCell ref="B23:G23"/>
    <mergeCell ref="B30:G30"/>
    <mergeCell ref="B51:G51"/>
    <mergeCell ref="B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40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1" min="10" style="1" width="10"/>
    <col collapsed="false" customWidth="true" hidden="false" outlineLevel="0" max="12" min="12" style="1" width="9"/>
    <col collapsed="false" customWidth="true" hidden="false" outlineLevel="0" max="13" min="13" style="1" width="8"/>
    <col collapsed="false" customWidth="true" hidden="false" outlineLevel="0" max="14" min="14" style="1" width="64"/>
  </cols>
  <sheetData>
    <row r="2" customFormat="false" ht="31.5" hidden="false" customHeight="true" outlineLevel="0" collapsed="false">
      <c r="B2" s="2" t="s">
        <v>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77</v>
      </c>
      <c r="C4" s="8" t="s">
        <v>78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83</v>
      </c>
      <c r="I4" s="8" t="s">
        <v>84</v>
      </c>
      <c r="J4" s="8" t="s">
        <v>85</v>
      </c>
      <c r="K4" s="8" t="s">
        <v>86</v>
      </c>
      <c r="L4" s="8" t="s">
        <v>87</v>
      </c>
      <c r="M4" s="8" t="s">
        <v>88</v>
      </c>
      <c r="N4" s="8" t="s">
        <v>89</v>
      </c>
    </row>
    <row r="5" customFormat="false" ht="60" hidden="false" customHeight="true" outlineLevel="0" collapsed="false">
      <c r="B5" s="16" t="n">
        <v>1</v>
      </c>
      <c r="C5" s="9" t="s">
        <v>51</v>
      </c>
      <c r="D5" s="9" t="s">
        <v>90</v>
      </c>
      <c r="E5" s="9" t="s">
        <v>91</v>
      </c>
      <c r="F5" s="9" t="s">
        <v>51</v>
      </c>
      <c r="G5" s="9" t="s">
        <v>92</v>
      </c>
      <c r="H5" s="17" t="n">
        <v>3099</v>
      </c>
      <c r="I5" s="11" t="n">
        <v>9.8</v>
      </c>
      <c r="J5" s="11" t="n">
        <v>9</v>
      </c>
      <c r="K5" s="11" t="n">
        <v>6.5</v>
      </c>
      <c r="L5" s="11" t="n">
        <v>9</v>
      </c>
      <c r="M5" s="18" t="n">
        <v>8.7</v>
      </c>
      <c r="N5" s="6" t="s">
        <v>93</v>
      </c>
    </row>
    <row r="6" customFormat="false" ht="46.5" hidden="false" customHeight="true" outlineLevel="0" collapsed="false">
      <c r="B6" s="19" t="n">
        <v>2</v>
      </c>
      <c r="C6" s="13" t="s">
        <v>51</v>
      </c>
      <c r="D6" s="13" t="s">
        <v>94</v>
      </c>
      <c r="E6" s="13" t="s">
        <v>95</v>
      </c>
      <c r="F6" s="13" t="s">
        <v>51</v>
      </c>
      <c r="G6" s="13" t="s">
        <v>96</v>
      </c>
      <c r="H6" s="20" t="n">
        <v>249</v>
      </c>
      <c r="I6" s="15" t="n">
        <v>8.3</v>
      </c>
      <c r="J6" s="15" t="n">
        <v>6</v>
      </c>
      <c r="K6" s="15" t="n">
        <v>8</v>
      </c>
      <c r="L6" s="15" t="n">
        <v>9</v>
      </c>
      <c r="M6" s="15" t="n">
        <v>7.7</v>
      </c>
      <c r="N6" s="7" t="s">
        <v>97</v>
      </c>
    </row>
    <row r="7" customFormat="false" ht="46.5" hidden="false" customHeight="true" outlineLevel="0" collapsed="false">
      <c r="B7" s="16" t="n">
        <v>3</v>
      </c>
      <c r="C7" s="9" t="s">
        <v>51</v>
      </c>
      <c r="D7" s="9" t="s">
        <v>98</v>
      </c>
      <c r="E7" s="9" t="s">
        <v>99</v>
      </c>
      <c r="F7" s="9" t="s">
        <v>51</v>
      </c>
      <c r="G7" s="9" t="s">
        <v>100</v>
      </c>
      <c r="H7" s="17" t="n">
        <v>669</v>
      </c>
      <c r="I7" s="11" t="n">
        <v>9</v>
      </c>
      <c r="J7" s="11" t="n">
        <v>3</v>
      </c>
      <c r="K7" s="11" t="n">
        <v>8.2</v>
      </c>
      <c r="L7" s="11" t="n">
        <v>4</v>
      </c>
      <c r="M7" s="12" t="n">
        <v>6</v>
      </c>
      <c r="N7" s="6" t="s">
        <v>101</v>
      </c>
    </row>
    <row r="8" customFormat="false" ht="46.5" hidden="false" customHeight="true" outlineLevel="0" collapsed="false">
      <c r="B8" s="19" t="n">
        <v>4</v>
      </c>
      <c r="C8" s="13" t="s">
        <v>51</v>
      </c>
      <c r="D8" s="13" t="s">
        <v>102</v>
      </c>
      <c r="E8" s="13" t="s">
        <v>103</v>
      </c>
      <c r="F8" s="13" t="s">
        <v>51</v>
      </c>
      <c r="G8" s="13" t="s">
        <v>104</v>
      </c>
      <c r="H8" s="20" t="n">
        <v>168</v>
      </c>
      <c r="I8" s="15" t="n">
        <v>8</v>
      </c>
      <c r="J8" s="15" t="n">
        <v>5</v>
      </c>
      <c r="K8" s="15" t="n">
        <v>8.5</v>
      </c>
      <c r="L8" s="15" t="n">
        <v>5</v>
      </c>
      <c r="M8" s="15" t="n">
        <v>6.6</v>
      </c>
      <c r="N8" s="7" t="s">
        <v>105</v>
      </c>
    </row>
    <row r="9" customFormat="false" ht="33.75" hidden="false" customHeight="true" outlineLevel="0" collapsed="false">
      <c r="B9" s="16" t="n">
        <v>5</v>
      </c>
      <c r="C9" s="9" t="s">
        <v>51</v>
      </c>
      <c r="D9" s="9" t="s">
        <v>106</v>
      </c>
      <c r="E9" s="9" t="s">
        <v>107</v>
      </c>
      <c r="F9" s="9" t="s">
        <v>51</v>
      </c>
      <c r="G9" s="9" t="s">
        <v>108</v>
      </c>
      <c r="H9" s="17" t="n">
        <v>441</v>
      </c>
      <c r="I9" s="11" t="n">
        <v>8.5</v>
      </c>
      <c r="J9" s="11" t="n">
        <v>3</v>
      </c>
      <c r="K9" s="11" t="n">
        <v>8.5</v>
      </c>
      <c r="L9" s="11" t="n">
        <v>4</v>
      </c>
      <c r="M9" s="12" t="n">
        <v>6</v>
      </c>
      <c r="N9" s="6" t="s">
        <v>109</v>
      </c>
    </row>
    <row r="10" customFormat="false" ht="33.75" hidden="false" customHeight="true" outlineLevel="0" collapsed="false">
      <c r="B10" s="19" t="n">
        <v>6</v>
      </c>
      <c r="C10" s="13" t="s">
        <v>51</v>
      </c>
      <c r="D10" s="13" t="s">
        <v>110</v>
      </c>
      <c r="E10" s="13" t="s">
        <v>111</v>
      </c>
      <c r="F10" s="13" t="s">
        <v>51</v>
      </c>
      <c r="G10" s="13" t="s">
        <v>112</v>
      </c>
      <c r="H10" s="20" t="n">
        <v>324</v>
      </c>
      <c r="I10" s="15" t="n">
        <v>8.5</v>
      </c>
      <c r="J10" s="15" t="n">
        <v>3</v>
      </c>
      <c r="K10" s="15" t="n">
        <v>8.5</v>
      </c>
      <c r="L10" s="15" t="n">
        <v>4</v>
      </c>
      <c r="M10" s="21" t="n">
        <v>6</v>
      </c>
      <c r="N10" s="7" t="s">
        <v>113</v>
      </c>
    </row>
    <row r="11" customFormat="false" ht="33.75" hidden="false" customHeight="true" outlineLevel="0" collapsed="false">
      <c r="B11" s="16" t="n">
        <v>7</v>
      </c>
      <c r="C11" s="9" t="s">
        <v>51</v>
      </c>
      <c r="D11" s="9" t="s">
        <v>114</v>
      </c>
      <c r="E11" s="9" t="s">
        <v>115</v>
      </c>
      <c r="F11" s="9" t="s">
        <v>116</v>
      </c>
      <c r="G11" s="9" t="s">
        <v>117</v>
      </c>
      <c r="H11" s="17" t="n">
        <v>320</v>
      </c>
      <c r="I11" s="11" t="n">
        <v>8.5</v>
      </c>
      <c r="J11" s="11" t="n">
        <v>3</v>
      </c>
      <c r="K11" s="11" t="n">
        <v>8.5</v>
      </c>
      <c r="L11" s="11" t="n">
        <v>6</v>
      </c>
      <c r="M11" s="12" t="n">
        <v>6.4</v>
      </c>
      <c r="N11" s="6" t="s">
        <v>118</v>
      </c>
    </row>
    <row r="12" customFormat="false" ht="60" hidden="false" customHeight="true" outlineLevel="0" collapsed="false">
      <c r="B12" s="19" t="n">
        <v>8</v>
      </c>
      <c r="C12" s="13" t="s">
        <v>51</v>
      </c>
      <c r="D12" s="13" t="s">
        <v>119</v>
      </c>
      <c r="E12" s="13" t="s">
        <v>120</v>
      </c>
      <c r="F12" s="13" t="s">
        <v>51</v>
      </c>
      <c r="G12" s="13" t="s">
        <v>121</v>
      </c>
      <c r="H12" s="20" t="n">
        <v>307</v>
      </c>
      <c r="I12" s="15" t="n">
        <v>8.5</v>
      </c>
      <c r="J12" s="15" t="n">
        <v>3</v>
      </c>
      <c r="K12" s="15" t="n">
        <v>4.5</v>
      </c>
      <c r="L12" s="15" t="n">
        <v>4</v>
      </c>
      <c r="M12" s="21" t="n">
        <v>5.1</v>
      </c>
      <c r="N12" s="7" t="s">
        <v>122</v>
      </c>
    </row>
    <row r="13" customFormat="false" ht="33.75" hidden="false" customHeight="true" outlineLevel="0" collapsed="false">
      <c r="B13" s="16" t="n">
        <v>9</v>
      </c>
      <c r="C13" s="9" t="s">
        <v>51</v>
      </c>
      <c r="D13" s="9" t="s">
        <v>123</v>
      </c>
      <c r="E13" s="9" t="s">
        <v>124</v>
      </c>
      <c r="F13" s="9" t="s">
        <v>116</v>
      </c>
      <c r="G13" s="9" t="s">
        <v>125</v>
      </c>
      <c r="H13" s="17" t="n">
        <v>258</v>
      </c>
      <c r="I13" s="11" t="n">
        <v>8</v>
      </c>
      <c r="J13" s="11" t="n">
        <v>3</v>
      </c>
      <c r="K13" s="11" t="n">
        <v>4</v>
      </c>
      <c r="L13" s="11" t="n">
        <v>4</v>
      </c>
      <c r="M13" s="12" t="n">
        <v>4.9</v>
      </c>
      <c r="N13" s="6" t="s">
        <v>126</v>
      </c>
    </row>
    <row r="14" customFormat="false" ht="46.5" hidden="false" customHeight="true" outlineLevel="0" collapsed="false">
      <c r="B14" s="19" t="n">
        <v>10</v>
      </c>
      <c r="C14" s="13" t="s">
        <v>51</v>
      </c>
      <c r="D14" s="13" t="s">
        <v>127</v>
      </c>
      <c r="E14" s="13" t="s">
        <v>128</v>
      </c>
      <c r="F14" s="13" t="s">
        <v>116</v>
      </c>
      <c r="G14" s="13" t="s">
        <v>129</v>
      </c>
      <c r="H14" s="20" t="n">
        <v>284</v>
      </c>
      <c r="I14" s="15" t="n">
        <v>8.3</v>
      </c>
      <c r="J14" s="15" t="n">
        <v>5</v>
      </c>
      <c r="K14" s="15" t="n">
        <v>8.5</v>
      </c>
      <c r="L14" s="15" t="n">
        <v>8.5</v>
      </c>
      <c r="M14" s="15" t="n">
        <v>7.4</v>
      </c>
      <c r="N14" s="7" t="s">
        <v>130</v>
      </c>
    </row>
    <row r="15" customFormat="false" ht="33.75" hidden="false" customHeight="true" outlineLevel="0" collapsed="false">
      <c r="B15" s="16" t="n">
        <v>11</v>
      </c>
      <c r="C15" s="9" t="s">
        <v>51</v>
      </c>
      <c r="D15" s="9" t="s">
        <v>131</v>
      </c>
      <c r="E15" s="9" t="s">
        <v>132</v>
      </c>
      <c r="F15" s="9" t="s">
        <v>116</v>
      </c>
      <c r="G15" s="9" t="s">
        <v>133</v>
      </c>
      <c r="H15" s="17" t="n">
        <v>217</v>
      </c>
      <c r="I15" s="11" t="n">
        <v>8</v>
      </c>
      <c r="J15" s="11" t="n">
        <v>4</v>
      </c>
      <c r="K15" s="11" t="n">
        <v>4</v>
      </c>
      <c r="L15" s="11" t="n">
        <v>4</v>
      </c>
      <c r="M15" s="12" t="n">
        <v>5.2</v>
      </c>
      <c r="N15" s="6" t="s">
        <v>134</v>
      </c>
    </row>
    <row r="16" customFormat="false" ht="60" hidden="false" customHeight="true" outlineLevel="0" collapsed="false">
      <c r="B16" s="19" t="n">
        <v>12</v>
      </c>
      <c r="C16" s="13" t="s">
        <v>52</v>
      </c>
      <c r="D16" s="13" t="s">
        <v>52</v>
      </c>
      <c r="E16" s="13" t="s">
        <v>135</v>
      </c>
      <c r="F16" s="13" t="s">
        <v>52</v>
      </c>
      <c r="G16" s="13" t="s">
        <v>136</v>
      </c>
      <c r="H16" s="20" t="n">
        <v>1400</v>
      </c>
      <c r="I16" s="15" t="n">
        <v>9.3</v>
      </c>
      <c r="J16" s="15" t="n">
        <v>9.5</v>
      </c>
      <c r="K16" s="15" t="n">
        <v>8.5</v>
      </c>
      <c r="L16" s="15" t="n">
        <v>9</v>
      </c>
      <c r="M16" s="22" t="n">
        <v>9.1</v>
      </c>
      <c r="N16" s="7" t="s">
        <v>137</v>
      </c>
    </row>
    <row r="17" customFormat="false" ht="46.5" hidden="false" customHeight="true" outlineLevel="0" collapsed="false">
      <c r="B17" s="16" t="n">
        <v>13</v>
      </c>
      <c r="C17" s="9" t="s">
        <v>52</v>
      </c>
      <c r="D17" s="9" t="s">
        <v>138</v>
      </c>
      <c r="E17" s="9" t="s">
        <v>139</v>
      </c>
      <c r="F17" s="9" t="s">
        <v>52</v>
      </c>
      <c r="G17" s="9" t="s">
        <v>140</v>
      </c>
      <c r="H17" s="17" t="n">
        <v>663</v>
      </c>
      <c r="I17" s="11" t="n">
        <v>9.3</v>
      </c>
      <c r="J17" s="11" t="n">
        <v>6.5</v>
      </c>
      <c r="K17" s="11" t="n">
        <v>7.7</v>
      </c>
      <c r="L17" s="11" t="n">
        <v>9</v>
      </c>
      <c r="M17" s="18" t="n">
        <v>8.1</v>
      </c>
      <c r="N17" s="6" t="s">
        <v>141</v>
      </c>
    </row>
    <row r="18" customFormat="false" ht="33.75" hidden="false" customHeight="true" outlineLevel="0" collapsed="false">
      <c r="B18" s="19" t="n">
        <v>14</v>
      </c>
      <c r="C18" s="13" t="s">
        <v>52</v>
      </c>
      <c r="D18" s="13" t="s">
        <v>142</v>
      </c>
      <c r="E18" s="13" t="s">
        <v>143</v>
      </c>
      <c r="F18" s="13" t="s">
        <v>52</v>
      </c>
      <c r="G18" s="13" t="s">
        <v>144</v>
      </c>
      <c r="H18" s="20" t="n">
        <v>535</v>
      </c>
      <c r="I18" s="15" t="n">
        <v>8.5</v>
      </c>
      <c r="J18" s="15" t="n">
        <v>3.5</v>
      </c>
      <c r="K18" s="15" t="n">
        <v>7.5</v>
      </c>
      <c r="L18" s="15" t="n">
        <v>4</v>
      </c>
      <c r="M18" s="21" t="n">
        <v>5.9</v>
      </c>
      <c r="N18" s="7" t="s">
        <v>145</v>
      </c>
    </row>
    <row r="19" customFormat="false" ht="46.5" hidden="false" customHeight="true" outlineLevel="0" collapsed="false">
      <c r="B19" s="16" t="n">
        <v>15</v>
      </c>
      <c r="C19" s="9" t="s">
        <v>52</v>
      </c>
      <c r="D19" s="9" t="s">
        <v>146</v>
      </c>
      <c r="E19" s="9" t="s">
        <v>147</v>
      </c>
      <c r="F19" s="9" t="s">
        <v>116</v>
      </c>
      <c r="G19" s="9" t="s">
        <v>148</v>
      </c>
      <c r="H19" s="17" t="n">
        <v>281</v>
      </c>
      <c r="I19" s="11" t="n">
        <v>8</v>
      </c>
      <c r="J19" s="11" t="n">
        <v>6</v>
      </c>
      <c r="K19" s="11" t="n">
        <v>8.5</v>
      </c>
      <c r="L19" s="11" t="n">
        <v>5</v>
      </c>
      <c r="M19" s="11" t="n">
        <v>6.9</v>
      </c>
      <c r="N19" s="6" t="s">
        <v>149</v>
      </c>
    </row>
    <row r="20" customFormat="false" ht="33.75" hidden="false" customHeight="true" outlineLevel="0" collapsed="false">
      <c r="B20" s="19" t="n">
        <v>16</v>
      </c>
      <c r="C20" s="13" t="s">
        <v>52</v>
      </c>
      <c r="D20" s="13" t="s">
        <v>150</v>
      </c>
      <c r="E20" s="13" t="s">
        <v>151</v>
      </c>
      <c r="F20" s="13" t="s">
        <v>116</v>
      </c>
      <c r="G20" s="13" t="s">
        <v>152</v>
      </c>
      <c r="H20" s="20" t="n">
        <v>833</v>
      </c>
      <c r="I20" s="15" t="n">
        <v>9.3</v>
      </c>
      <c r="J20" s="15" t="n">
        <v>6</v>
      </c>
      <c r="K20" s="15" t="n">
        <v>8.2</v>
      </c>
      <c r="L20" s="15" t="n">
        <v>9</v>
      </c>
      <c r="M20" s="22" t="n">
        <v>8</v>
      </c>
      <c r="N20" s="7" t="s">
        <v>153</v>
      </c>
    </row>
    <row r="21" customFormat="false" ht="46.5" hidden="false" customHeight="true" outlineLevel="0" collapsed="false">
      <c r="B21" s="16" t="n">
        <v>17</v>
      </c>
      <c r="C21" s="9" t="s">
        <v>52</v>
      </c>
      <c r="D21" s="9" t="s">
        <v>154</v>
      </c>
      <c r="E21" s="9" t="s">
        <v>155</v>
      </c>
      <c r="F21" s="9" t="s">
        <v>116</v>
      </c>
      <c r="G21" s="9" t="s">
        <v>156</v>
      </c>
      <c r="H21" s="17" t="n">
        <v>646</v>
      </c>
      <c r="I21" s="11" t="n">
        <v>9</v>
      </c>
      <c r="J21" s="11" t="n">
        <v>3</v>
      </c>
      <c r="K21" s="11" t="n">
        <v>8</v>
      </c>
      <c r="L21" s="11" t="n">
        <v>6</v>
      </c>
      <c r="M21" s="12" t="n">
        <v>6.4</v>
      </c>
      <c r="N21" s="6" t="s">
        <v>157</v>
      </c>
    </row>
    <row r="22" customFormat="false" ht="60" hidden="false" customHeight="true" outlineLevel="0" collapsed="false">
      <c r="B22" s="19" t="n">
        <v>18</v>
      </c>
      <c r="C22" s="13" t="s">
        <v>53</v>
      </c>
      <c r="D22" s="13" t="s">
        <v>158</v>
      </c>
      <c r="E22" s="13" t="s">
        <v>159</v>
      </c>
      <c r="F22" s="13" t="s">
        <v>53</v>
      </c>
      <c r="G22" s="13" t="s">
        <v>160</v>
      </c>
      <c r="H22" s="20" t="n">
        <v>3400</v>
      </c>
      <c r="I22" s="15" t="n">
        <v>9.8</v>
      </c>
      <c r="J22" s="15" t="n">
        <v>9.5</v>
      </c>
      <c r="K22" s="15" t="n">
        <v>7.5</v>
      </c>
      <c r="L22" s="15" t="n">
        <v>8.5</v>
      </c>
      <c r="M22" s="22" t="n">
        <v>9</v>
      </c>
      <c r="N22" s="7" t="s">
        <v>161</v>
      </c>
    </row>
    <row r="23" customFormat="false" ht="60" hidden="false" customHeight="true" outlineLevel="0" collapsed="false">
      <c r="B23" s="16" t="n">
        <v>19</v>
      </c>
      <c r="C23" s="9" t="s">
        <v>53</v>
      </c>
      <c r="D23" s="9" t="s">
        <v>162</v>
      </c>
      <c r="E23" s="9" t="s">
        <v>163</v>
      </c>
      <c r="F23" s="9" t="s">
        <v>164</v>
      </c>
      <c r="G23" s="9" t="s">
        <v>165</v>
      </c>
      <c r="H23" s="17" t="n">
        <v>397</v>
      </c>
      <c r="I23" s="11" t="n">
        <v>8.8</v>
      </c>
      <c r="J23" s="11" t="n">
        <v>8.5</v>
      </c>
      <c r="K23" s="11" t="n">
        <v>8</v>
      </c>
      <c r="L23" s="11" t="n">
        <v>9</v>
      </c>
      <c r="M23" s="18" t="n">
        <v>8.6</v>
      </c>
      <c r="N23" s="6" t="s">
        <v>166</v>
      </c>
    </row>
    <row r="24" customFormat="false" ht="46.5" hidden="false" customHeight="true" outlineLevel="0" collapsed="false">
      <c r="B24" s="19" t="n">
        <v>20</v>
      </c>
      <c r="C24" s="13" t="s">
        <v>53</v>
      </c>
      <c r="D24" s="13" t="s">
        <v>167</v>
      </c>
      <c r="E24" s="13" t="s">
        <v>168</v>
      </c>
      <c r="F24" s="13" t="s">
        <v>53</v>
      </c>
      <c r="G24" s="13" t="s">
        <v>169</v>
      </c>
      <c r="H24" s="20" t="n">
        <v>212</v>
      </c>
      <c r="I24" s="15" t="n">
        <v>8</v>
      </c>
      <c r="J24" s="15" t="n">
        <v>6.5</v>
      </c>
      <c r="K24" s="15" t="n">
        <v>8</v>
      </c>
      <c r="L24" s="15" t="n">
        <v>5</v>
      </c>
      <c r="M24" s="15" t="n">
        <v>6.9</v>
      </c>
      <c r="N24" s="7" t="s">
        <v>170</v>
      </c>
    </row>
    <row r="25" customFormat="false" ht="46.5" hidden="false" customHeight="true" outlineLevel="0" collapsed="false">
      <c r="B25" s="16" t="n">
        <v>21</v>
      </c>
      <c r="C25" s="9" t="s">
        <v>53</v>
      </c>
      <c r="D25" s="9" t="s">
        <v>171</v>
      </c>
      <c r="E25" s="9" t="s">
        <v>172</v>
      </c>
      <c r="F25" s="9" t="s">
        <v>53</v>
      </c>
      <c r="G25" s="9" t="s">
        <v>173</v>
      </c>
      <c r="H25" s="17" t="n">
        <v>900</v>
      </c>
      <c r="I25" s="11" t="n">
        <v>9</v>
      </c>
      <c r="J25" s="11" t="n">
        <v>3</v>
      </c>
      <c r="K25" s="11" t="n">
        <v>7.5</v>
      </c>
      <c r="L25" s="11" t="n">
        <v>6</v>
      </c>
      <c r="M25" s="12" t="n">
        <v>6.3</v>
      </c>
      <c r="N25" s="6" t="s">
        <v>174</v>
      </c>
    </row>
    <row r="26" customFormat="false" ht="46.5" hidden="false" customHeight="true" outlineLevel="0" collapsed="false">
      <c r="B26" s="19" t="n">
        <v>22</v>
      </c>
      <c r="C26" s="13" t="s">
        <v>53</v>
      </c>
      <c r="D26" s="13" t="s">
        <v>175</v>
      </c>
      <c r="E26" s="13" t="s">
        <v>176</v>
      </c>
      <c r="F26" s="13" t="s">
        <v>53</v>
      </c>
      <c r="G26" s="13" t="s">
        <v>177</v>
      </c>
      <c r="H26" s="20" t="n">
        <v>305</v>
      </c>
      <c r="I26" s="15" t="n">
        <v>8.5</v>
      </c>
      <c r="J26" s="15" t="n">
        <v>4</v>
      </c>
      <c r="K26" s="15" t="n">
        <v>4</v>
      </c>
      <c r="L26" s="15" t="n">
        <v>4</v>
      </c>
      <c r="M26" s="21" t="n">
        <v>5.3</v>
      </c>
      <c r="N26" s="7" t="s">
        <v>178</v>
      </c>
    </row>
    <row r="27" customFormat="false" ht="33.75" hidden="false" customHeight="true" outlineLevel="0" collapsed="false">
      <c r="B27" s="16" t="n">
        <v>23</v>
      </c>
      <c r="C27" s="9" t="s">
        <v>53</v>
      </c>
      <c r="D27" s="9" t="s">
        <v>179</v>
      </c>
      <c r="E27" s="9" t="s">
        <v>180</v>
      </c>
      <c r="F27" s="9" t="s">
        <v>53</v>
      </c>
      <c r="G27" s="9" t="s">
        <v>181</v>
      </c>
      <c r="H27" s="17" t="n">
        <v>377</v>
      </c>
      <c r="I27" s="11" t="n">
        <v>8.5</v>
      </c>
      <c r="J27" s="11" t="n">
        <v>3</v>
      </c>
      <c r="K27" s="11" t="n">
        <v>4.5</v>
      </c>
      <c r="L27" s="11" t="n">
        <v>5</v>
      </c>
      <c r="M27" s="12" t="n">
        <v>5.3</v>
      </c>
      <c r="N27" s="6" t="s">
        <v>182</v>
      </c>
    </row>
    <row r="28" customFormat="false" ht="33.75" hidden="false" customHeight="true" outlineLevel="0" collapsed="false">
      <c r="B28" s="19" t="n">
        <v>24</v>
      </c>
      <c r="C28" s="13" t="s">
        <v>53</v>
      </c>
      <c r="D28" s="13" t="s">
        <v>183</v>
      </c>
      <c r="E28" s="13" t="s">
        <v>184</v>
      </c>
      <c r="F28" s="13" t="s">
        <v>53</v>
      </c>
      <c r="G28" s="13" t="s">
        <v>185</v>
      </c>
      <c r="H28" s="20" t="n">
        <v>632</v>
      </c>
      <c r="I28" s="15" t="n">
        <v>9</v>
      </c>
      <c r="J28" s="15" t="n">
        <v>3</v>
      </c>
      <c r="K28" s="15" t="n">
        <v>4.5</v>
      </c>
      <c r="L28" s="15" t="n">
        <v>4</v>
      </c>
      <c r="M28" s="21" t="n">
        <v>5.3</v>
      </c>
      <c r="N28" s="7" t="s">
        <v>186</v>
      </c>
    </row>
    <row r="29" customFormat="false" ht="46.5" hidden="false" customHeight="true" outlineLevel="0" collapsed="false">
      <c r="B29" s="16" t="n">
        <v>25</v>
      </c>
      <c r="C29" s="9" t="s">
        <v>53</v>
      </c>
      <c r="D29" s="9" t="s">
        <v>187</v>
      </c>
      <c r="E29" s="9" t="s">
        <v>188</v>
      </c>
      <c r="F29" s="9" t="s">
        <v>53</v>
      </c>
      <c r="G29" s="9" t="s">
        <v>189</v>
      </c>
      <c r="H29" s="17" t="n">
        <v>608</v>
      </c>
      <c r="I29" s="11" t="n">
        <v>9</v>
      </c>
      <c r="J29" s="11" t="n">
        <v>6.5</v>
      </c>
      <c r="K29" s="11" t="n">
        <v>4.5</v>
      </c>
      <c r="L29" s="11" t="n">
        <v>4</v>
      </c>
      <c r="M29" s="12" t="n">
        <v>6.3</v>
      </c>
      <c r="N29" s="6" t="s">
        <v>190</v>
      </c>
    </row>
    <row r="30" customFormat="false" ht="46.5" hidden="false" customHeight="true" outlineLevel="0" collapsed="false">
      <c r="B30" s="19" t="n">
        <v>26</v>
      </c>
      <c r="C30" s="13" t="s">
        <v>53</v>
      </c>
      <c r="D30" s="13" t="s">
        <v>191</v>
      </c>
      <c r="E30" s="13" t="s">
        <v>192</v>
      </c>
      <c r="F30" s="13" t="s">
        <v>53</v>
      </c>
      <c r="G30" s="13" t="s">
        <v>193</v>
      </c>
      <c r="H30" s="20" t="n">
        <v>366</v>
      </c>
      <c r="I30" s="15" t="n">
        <v>8.5</v>
      </c>
      <c r="J30" s="15" t="n">
        <v>3</v>
      </c>
      <c r="K30" s="15" t="n">
        <v>4.5</v>
      </c>
      <c r="L30" s="15" t="n">
        <v>6</v>
      </c>
      <c r="M30" s="21" t="n">
        <v>5.5</v>
      </c>
      <c r="N30" s="7" t="s">
        <v>194</v>
      </c>
    </row>
    <row r="31" customFormat="false" ht="33.75" hidden="false" customHeight="true" outlineLevel="0" collapsed="false">
      <c r="B31" s="16" t="n">
        <v>27</v>
      </c>
      <c r="C31" s="9" t="s">
        <v>53</v>
      </c>
      <c r="D31" s="9" t="s">
        <v>195</v>
      </c>
      <c r="E31" s="9" t="s">
        <v>196</v>
      </c>
      <c r="F31" s="9" t="s">
        <v>53</v>
      </c>
      <c r="G31" s="9" t="s">
        <v>197</v>
      </c>
      <c r="H31" s="17" t="n">
        <v>306</v>
      </c>
      <c r="I31" s="11" t="n">
        <v>8.5</v>
      </c>
      <c r="J31" s="11" t="n">
        <v>3</v>
      </c>
      <c r="K31" s="11" t="n">
        <v>8.5</v>
      </c>
      <c r="L31" s="11" t="n">
        <v>6</v>
      </c>
      <c r="M31" s="12" t="n">
        <v>6.4</v>
      </c>
      <c r="N31" s="6" t="s">
        <v>198</v>
      </c>
    </row>
    <row r="32" customFormat="false" ht="46.5" hidden="false" customHeight="true" outlineLevel="0" collapsed="false">
      <c r="B32" s="19" t="n">
        <v>28</v>
      </c>
      <c r="C32" s="13" t="s">
        <v>53</v>
      </c>
      <c r="D32" s="13" t="s">
        <v>199</v>
      </c>
      <c r="E32" s="13" t="s">
        <v>200</v>
      </c>
      <c r="F32" s="13" t="s">
        <v>53</v>
      </c>
      <c r="G32" s="13" t="s">
        <v>201</v>
      </c>
      <c r="H32" s="20" t="n">
        <v>92</v>
      </c>
      <c r="I32" s="15" t="n">
        <v>7</v>
      </c>
      <c r="J32" s="15" t="n">
        <v>4</v>
      </c>
      <c r="K32" s="15" t="n">
        <v>7.5</v>
      </c>
      <c r="L32" s="15" t="n">
        <v>4</v>
      </c>
      <c r="M32" s="21" t="n">
        <v>5.6</v>
      </c>
      <c r="N32" s="7" t="s">
        <v>202</v>
      </c>
    </row>
    <row r="33" customFormat="false" ht="46.5" hidden="false" customHeight="true" outlineLevel="0" collapsed="false">
      <c r="B33" s="16" t="n">
        <v>29</v>
      </c>
      <c r="C33" s="9" t="s">
        <v>53</v>
      </c>
      <c r="D33" s="9" t="s">
        <v>203</v>
      </c>
      <c r="E33" s="9" t="s">
        <v>204</v>
      </c>
      <c r="F33" s="9" t="s">
        <v>53</v>
      </c>
      <c r="G33" s="9" t="s">
        <v>205</v>
      </c>
      <c r="H33" s="17" t="n">
        <v>678</v>
      </c>
      <c r="I33" s="11" t="n">
        <v>9.3</v>
      </c>
      <c r="J33" s="11" t="n">
        <v>6.5</v>
      </c>
      <c r="K33" s="11" t="n">
        <v>8.2</v>
      </c>
      <c r="L33" s="11" t="n">
        <v>9</v>
      </c>
      <c r="M33" s="18" t="n">
        <v>8.2</v>
      </c>
      <c r="N33" s="6" t="s">
        <v>206</v>
      </c>
    </row>
    <row r="34" customFormat="false" ht="46.5" hidden="false" customHeight="true" outlineLevel="0" collapsed="false">
      <c r="B34" s="19" t="n">
        <v>30</v>
      </c>
      <c r="C34" s="13" t="s">
        <v>53</v>
      </c>
      <c r="D34" s="13" t="s">
        <v>207</v>
      </c>
      <c r="E34" s="13" t="s">
        <v>208</v>
      </c>
      <c r="F34" s="13" t="s">
        <v>53</v>
      </c>
      <c r="G34" s="13" t="s">
        <v>209</v>
      </c>
      <c r="H34" s="20" t="n">
        <v>419</v>
      </c>
      <c r="I34" s="15" t="n">
        <v>8.5</v>
      </c>
      <c r="J34" s="15" t="n">
        <v>5</v>
      </c>
      <c r="K34" s="15" t="n">
        <v>7.5</v>
      </c>
      <c r="L34" s="15" t="n">
        <v>5</v>
      </c>
      <c r="M34" s="15" t="n">
        <v>6.5</v>
      </c>
      <c r="N34" s="7" t="s">
        <v>210</v>
      </c>
    </row>
    <row r="35" customFormat="false" ht="33.75" hidden="false" customHeight="true" outlineLevel="0" collapsed="false">
      <c r="B35" s="16" t="n">
        <v>31</v>
      </c>
      <c r="C35" s="9" t="s">
        <v>53</v>
      </c>
      <c r="D35" s="9" t="s">
        <v>211</v>
      </c>
      <c r="E35" s="9" t="s">
        <v>212</v>
      </c>
      <c r="F35" s="9" t="s">
        <v>53</v>
      </c>
      <c r="G35" s="9" t="s">
        <v>213</v>
      </c>
      <c r="H35" s="17" t="n">
        <v>183</v>
      </c>
      <c r="I35" s="11" t="n">
        <v>8</v>
      </c>
      <c r="J35" s="11" t="n">
        <v>3</v>
      </c>
      <c r="K35" s="11" t="n">
        <v>4.5</v>
      </c>
      <c r="L35" s="11" t="n">
        <v>4</v>
      </c>
      <c r="M35" s="12" t="n">
        <v>5</v>
      </c>
      <c r="N35" s="6" t="s">
        <v>214</v>
      </c>
    </row>
    <row r="36" customFormat="false" ht="33.75" hidden="false" customHeight="true" outlineLevel="0" collapsed="false">
      <c r="B36" s="19" t="n">
        <v>32</v>
      </c>
      <c r="C36" s="13" t="s">
        <v>53</v>
      </c>
      <c r="D36" s="13" t="s">
        <v>215</v>
      </c>
      <c r="E36" s="13" t="s">
        <v>216</v>
      </c>
      <c r="F36" s="13" t="s">
        <v>53</v>
      </c>
      <c r="G36" s="13" t="s">
        <v>217</v>
      </c>
      <c r="H36" s="20" t="n">
        <v>480</v>
      </c>
      <c r="I36" s="15" t="n">
        <v>8.5</v>
      </c>
      <c r="J36" s="15" t="n">
        <v>3</v>
      </c>
      <c r="K36" s="15" t="n">
        <v>7</v>
      </c>
      <c r="L36" s="15" t="n">
        <v>5</v>
      </c>
      <c r="M36" s="21" t="n">
        <v>5.8</v>
      </c>
      <c r="N36" s="7" t="s">
        <v>218</v>
      </c>
    </row>
    <row r="37" customFormat="false" ht="60" hidden="false" customHeight="true" outlineLevel="0" collapsed="false">
      <c r="B37" s="16" t="n">
        <v>33</v>
      </c>
      <c r="C37" s="9" t="s">
        <v>53</v>
      </c>
      <c r="D37" s="9" t="s">
        <v>219</v>
      </c>
      <c r="E37" s="9" t="s">
        <v>220</v>
      </c>
      <c r="F37" s="9" t="s">
        <v>53</v>
      </c>
      <c r="G37" s="9" t="s">
        <v>221</v>
      </c>
      <c r="H37" s="17" t="n">
        <v>1085</v>
      </c>
      <c r="I37" s="11" t="n">
        <v>9</v>
      </c>
      <c r="J37" s="11" t="n">
        <v>8</v>
      </c>
      <c r="K37" s="11" t="n">
        <v>7.5</v>
      </c>
      <c r="L37" s="11" t="n">
        <v>4</v>
      </c>
      <c r="M37" s="11" t="n">
        <v>7.4</v>
      </c>
      <c r="N37" s="6" t="s">
        <v>222</v>
      </c>
    </row>
    <row r="38" customFormat="false" ht="60" hidden="false" customHeight="true" outlineLevel="0" collapsed="false">
      <c r="B38" s="19" t="n">
        <v>34</v>
      </c>
      <c r="C38" s="13" t="s">
        <v>53</v>
      </c>
      <c r="D38" s="13" t="s">
        <v>223</v>
      </c>
      <c r="E38" s="13" t="s">
        <v>224</v>
      </c>
      <c r="F38" s="13" t="s">
        <v>225</v>
      </c>
      <c r="G38" s="13" t="s">
        <v>226</v>
      </c>
      <c r="H38" s="20" t="n">
        <v>153</v>
      </c>
      <c r="I38" s="15" t="n">
        <v>8.3</v>
      </c>
      <c r="J38" s="15" t="n">
        <v>8</v>
      </c>
      <c r="K38" s="15" t="n">
        <v>8</v>
      </c>
      <c r="L38" s="15" t="n">
        <v>8.5</v>
      </c>
      <c r="M38" s="22" t="n">
        <v>8.2</v>
      </c>
      <c r="N38" s="7" t="s">
        <v>227</v>
      </c>
    </row>
    <row r="39" customFormat="false" ht="46.5" hidden="false" customHeight="true" outlineLevel="0" collapsed="false">
      <c r="B39" s="16" t="n">
        <v>35</v>
      </c>
      <c r="C39" s="9" t="s">
        <v>53</v>
      </c>
      <c r="D39" s="9" t="s">
        <v>228</v>
      </c>
      <c r="E39" s="9" t="s">
        <v>229</v>
      </c>
      <c r="F39" s="9" t="s">
        <v>225</v>
      </c>
      <c r="G39" s="9" t="s">
        <v>230</v>
      </c>
      <c r="H39" s="17" t="n">
        <v>156</v>
      </c>
      <c r="I39" s="11" t="n">
        <v>8.3</v>
      </c>
      <c r="J39" s="11" t="n">
        <v>6</v>
      </c>
      <c r="K39" s="11" t="n">
        <v>8</v>
      </c>
      <c r="L39" s="11" t="n">
        <v>8.5</v>
      </c>
      <c r="M39" s="11" t="n">
        <v>7.6</v>
      </c>
      <c r="N39" s="6" t="s">
        <v>231</v>
      </c>
    </row>
    <row r="40" customFormat="false" ht="60" hidden="false" customHeight="true" outlineLevel="0" collapsed="false">
      <c r="B40" s="19" t="n">
        <v>36</v>
      </c>
      <c r="C40" s="13" t="s">
        <v>53</v>
      </c>
      <c r="D40" s="13" t="s">
        <v>232</v>
      </c>
      <c r="E40" s="13" t="s">
        <v>233</v>
      </c>
      <c r="F40" s="13" t="s">
        <v>225</v>
      </c>
      <c r="G40" s="13" t="s">
        <v>234</v>
      </c>
      <c r="H40" s="20" t="n">
        <v>119</v>
      </c>
      <c r="I40" s="15" t="n">
        <v>7.3</v>
      </c>
      <c r="J40" s="15" t="n">
        <v>8</v>
      </c>
      <c r="K40" s="15" t="n">
        <v>8</v>
      </c>
      <c r="L40" s="15" t="n">
        <v>8.5</v>
      </c>
      <c r="M40" s="15" t="n">
        <v>7.9</v>
      </c>
      <c r="N40" s="7" t="s">
        <v>235</v>
      </c>
    </row>
    <row r="41" customFormat="false" ht="46.5" hidden="false" customHeight="true" outlineLevel="0" collapsed="false">
      <c r="B41" s="16" t="n">
        <v>37</v>
      </c>
      <c r="C41" s="9" t="s">
        <v>53</v>
      </c>
      <c r="D41" s="9" t="s">
        <v>236</v>
      </c>
      <c r="E41" s="9" t="s">
        <v>237</v>
      </c>
      <c r="F41" s="9" t="s">
        <v>225</v>
      </c>
      <c r="G41" s="9" t="s">
        <v>238</v>
      </c>
      <c r="H41" s="17" t="n">
        <v>80</v>
      </c>
      <c r="I41" s="11" t="n">
        <v>7.3</v>
      </c>
      <c r="J41" s="11" t="n">
        <v>4</v>
      </c>
      <c r="K41" s="11" t="n">
        <v>7.5</v>
      </c>
      <c r="L41" s="11" t="n">
        <v>8.5</v>
      </c>
      <c r="M41" s="11" t="n">
        <v>6.6</v>
      </c>
      <c r="N41" s="6" t="s">
        <v>239</v>
      </c>
    </row>
    <row r="42" customFormat="false" ht="60" hidden="false" customHeight="true" outlineLevel="0" collapsed="false">
      <c r="B42" s="19" t="n">
        <v>38</v>
      </c>
      <c r="C42" s="13" t="s">
        <v>53</v>
      </c>
      <c r="D42" s="13" t="s">
        <v>240</v>
      </c>
      <c r="E42" s="13" t="s">
        <v>241</v>
      </c>
      <c r="F42" s="13" t="s">
        <v>225</v>
      </c>
      <c r="G42" s="13" t="s">
        <v>242</v>
      </c>
      <c r="H42" s="20" t="n">
        <v>127</v>
      </c>
      <c r="I42" s="15" t="n">
        <v>7.3</v>
      </c>
      <c r="J42" s="15" t="n">
        <v>8</v>
      </c>
      <c r="K42" s="15" t="n">
        <v>7.5</v>
      </c>
      <c r="L42" s="15" t="n">
        <v>8.5</v>
      </c>
      <c r="M42" s="15" t="n">
        <v>7.8</v>
      </c>
      <c r="N42" s="7" t="s">
        <v>243</v>
      </c>
    </row>
    <row r="43" customFormat="false" ht="60" hidden="false" customHeight="true" outlineLevel="0" collapsed="false">
      <c r="B43" s="16" t="n">
        <v>39</v>
      </c>
      <c r="C43" s="9" t="s">
        <v>53</v>
      </c>
      <c r="D43" s="9" t="s">
        <v>244</v>
      </c>
      <c r="E43" s="9" t="s">
        <v>245</v>
      </c>
      <c r="F43" s="9" t="s">
        <v>225</v>
      </c>
      <c r="G43" s="9" t="s">
        <v>246</v>
      </c>
      <c r="H43" s="17" t="n">
        <v>105</v>
      </c>
      <c r="I43" s="11" t="n">
        <v>7.3</v>
      </c>
      <c r="J43" s="11" t="n">
        <v>8</v>
      </c>
      <c r="K43" s="11" t="n">
        <v>7.5</v>
      </c>
      <c r="L43" s="11" t="n">
        <v>8.5</v>
      </c>
      <c r="M43" s="11" t="n">
        <v>7.8</v>
      </c>
      <c r="N43" s="6" t="s">
        <v>247</v>
      </c>
    </row>
    <row r="44" customFormat="false" ht="46.5" hidden="false" customHeight="true" outlineLevel="0" collapsed="false">
      <c r="B44" s="19" t="n">
        <v>40</v>
      </c>
      <c r="C44" s="13" t="s">
        <v>53</v>
      </c>
      <c r="D44" s="13" t="s">
        <v>248</v>
      </c>
      <c r="E44" s="13" t="s">
        <v>249</v>
      </c>
      <c r="F44" s="13" t="s">
        <v>225</v>
      </c>
      <c r="G44" s="13" t="s">
        <v>250</v>
      </c>
      <c r="H44" s="20" t="n">
        <v>140</v>
      </c>
      <c r="I44" s="15" t="n">
        <v>7.3</v>
      </c>
      <c r="J44" s="15" t="n">
        <v>6</v>
      </c>
      <c r="K44" s="15" t="n">
        <v>8</v>
      </c>
      <c r="L44" s="15" t="n">
        <v>8.5</v>
      </c>
      <c r="M44" s="15" t="n">
        <v>7.3</v>
      </c>
      <c r="N44" s="7" t="s">
        <v>251</v>
      </c>
    </row>
    <row r="45" customFormat="false" ht="46.5" hidden="false" customHeight="true" outlineLevel="0" collapsed="false">
      <c r="B45" s="16" t="n">
        <v>41</v>
      </c>
      <c r="C45" s="9" t="s">
        <v>53</v>
      </c>
      <c r="D45" s="9" t="s">
        <v>252</v>
      </c>
      <c r="E45" s="9" t="s">
        <v>253</v>
      </c>
      <c r="F45" s="9" t="s">
        <v>225</v>
      </c>
      <c r="G45" s="9" t="s">
        <v>254</v>
      </c>
      <c r="H45" s="17" t="n">
        <v>153</v>
      </c>
      <c r="I45" s="11" t="n">
        <v>8.3</v>
      </c>
      <c r="J45" s="11" t="n">
        <v>6</v>
      </c>
      <c r="K45" s="11" t="n">
        <v>8</v>
      </c>
      <c r="L45" s="11" t="n">
        <v>8.5</v>
      </c>
      <c r="M45" s="11" t="n">
        <v>7.6</v>
      </c>
      <c r="N45" s="6" t="s">
        <v>255</v>
      </c>
    </row>
    <row r="46" customFormat="false" ht="46.5" hidden="false" customHeight="true" outlineLevel="0" collapsed="false">
      <c r="B46" s="19" t="n">
        <v>42</v>
      </c>
      <c r="C46" s="13" t="s">
        <v>53</v>
      </c>
      <c r="D46" s="13" t="s">
        <v>256</v>
      </c>
      <c r="E46" s="13" t="s">
        <v>257</v>
      </c>
      <c r="F46" s="13" t="s">
        <v>225</v>
      </c>
      <c r="G46" s="13" t="s">
        <v>258</v>
      </c>
      <c r="H46" s="20" t="n">
        <v>117</v>
      </c>
      <c r="I46" s="15" t="n">
        <v>7.3</v>
      </c>
      <c r="J46" s="15" t="n">
        <v>6</v>
      </c>
      <c r="K46" s="15" t="n">
        <v>8</v>
      </c>
      <c r="L46" s="15" t="n">
        <v>8.5</v>
      </c>
      <c r="M46" s="15" t="n">
        <v>7.3</v>
      </c>
      <c r="N46" s="7" t="s">
        <v>259</v>
      </c>
    </row>
    <row r="47" customFormat="false" ht="60" hidden="false" customHeight="true" outlineLevel="0" collapsed="false">
      <c r="B47" s="16" t="n">
        <v>43</v>
      </c>
      <c r="C47" s="9" t="s">
        <v>53</v>
      </c>
      <c r="D47" s="9" t="s">
        <v>260</v>
      </c>
      <c r="E47" s="9" t="s">
        <v>261</v>
      </c>
      <c r="F47" s="9" t="s">
        <v>225</v>
      </c>
      <c r="G47" s="9" t="s">
        <v>262</v>
      </c>
      <c r="H47" s="17" t="n">
        <v>127</v>
      </c>
      <c r="I47" s="11" t="n">
        <v>6.5</v>
      </c>
      <c r="J47" s="11" t="n">
        <v>8</v>
      </c>
      <c r="K47" s="11" t="n">
        <v>8</v>
      </c>
      <c r="L47" s="11" t="n">
        <v>8.5</v>
      </c>
      <c r="M47" s="11" t="n">
        <v>7.6</v>
      </c>
      <c r="N47" s="6" t="s">
        <v>263</v>
      </c>
    </row>
    <row r="48" customFormat="false" ht="60" hidden="false" customHeight="true" outlineLevel="0" collapsed="false">
      <c r="B48" s="19" t="n">
        <v>44</v>
      </c>
      <c r="C48" s="13" t="s">
        <v>53</v>
      </c>
      <c r="D48" s="13" t="s">
        <v>264</v>
      </c>
      <c r="E48" s="13" t="s">
        <v>265</v>
      </c>
      <c r="F48" s="13" t="s">
        <v>225</v>
      </c>
      <c r="G48" s="13" t="s">
        <v>266</v>
      </c>
      <c r="H48" s="20" t="n">
        <v>124</v>
      </c>
      <c r="I48" s="15" t="n">
        <v>7.3</v>
      </c>
      <c r="J48" s="15" t="n">
        <v>8</v>
      </c>
      <c r="K48" s="15" t="n">
        <v>8</v>
      </c>
      <c r="L48" s="15" t="n">
        <v>8.5</v>
      </c>
      <c r="M48" s="15" t="n">
        <v>7.9</v>
      </c>
      <c r="N48" s="7" t="s">
        <v>267</v>
      </c>
    </row>
    <row r="49" customFormat="false" ht="60" hidden="false" customHeight="true" outlineLevel="0" collapsed="false">
      <c r="B49" s="16" t="n">
        <v>45</v>
      </c>
      <c r="C49" s="9" t="s">
        <v>53</v>
      </c>
      <c r="D49" s="9" t="s">
        <v>268</v>
      </c>
      <c r="E49" s="9" t="s">
        <v>269</v>
      </c>
      <c r="F49" s="9" t="s">
        <v>225</v>
      </c>
      <c r="G49" s="9" t="s">
        <v>270</v>
      </c>
      <c r="H49" s="17" t="n">
        <v>125</v>
      </c>
      <c r="I49" s="11" t="n">
        <v>7.3</v>
      </c>
      <c r="J49" s="11" t="n">
        <v>8</v>
      </c>
      <c r="K49" s="11" t="n">
        <v>7.5</v>
      </c>
      <c r="L49" s="11" t="n">
        <v>9</v>
      </c>
      <c r="M49" s="11" t="n">
        <v>7.9</v>
      </c>
      <c r="N49" s="6" t="s">
        <v>271</v>
      </c>
    </row>
    <row r="50" customFormat="false" ht="46.5" hidden="false" customHeight="true" outlineLevel="0" collapsed="false">
      <c r="B50" s="19" t="n">
        <v>46</v>
      </c>
      <c r="C50" s="13" t="s">
        <v>53</v>
      </c>
      <c r="D50" s="13" t="s">
        <v>272</v>
      </c>
      <c r="E50" s="13" t="s">
        <v>273</v>
      </c>
      <c r="F50" s="13" t="s">
        <v>225</v>
      </c>
      <c r="G50" s="13" t="s">
        <v>274</v>
      </c>
      <c r="H50" s="20" t="n">
        <v>91</v>
      </c>
      <c r="I50" s="15" t="n">
        <v>7.3</v>
      </c>
      <c r="J50" s="15" t="n">
        <v>4</v>
      </c>
      <c r="K50" s="15" t="n">
        <v>7</v>
      </c>
      <c r="L50" s="15" t="n">
        <v>8.5</v>
      </c>
      <c r="M50" s="15" t="n">
        <v>6.5</v>
      </c>
      <c r="N50" s="7" t="s">
        <v>275</v>
      </c>
    </row>
    <row r="51" customFormat="false" ht="46.5" hidden="false" customHeight="true" outlineLevel="0" collapsed="false">
      <c r="B51" s="16" t="n">
        <v>47</v>
      </c>
      <c r="C51" s="9" t="s">
        <v>53</v>
      </c>
      <c r="D51" s="9" t="s">
        <v>276</v>
      </c>
      <c r="E51" s="9" t="s">
        <v>277</v>
      </c>
      <c r="F51" s="9" t="s">
        <v>225</v>
      </c>
      <c r="G51" s="9" t="s">
        <v>278</v>
      </c>
      <c r="H51" s="17" t="n">
        <v>139</v>
      </c>
      <c r="I51" s="11" t="n">
        <v>7.3</v>
      </c>
      <c r="J51" s="11" t="n">
        <v>6</v>
      </c>
      <c r="K51" s="11" t="n">
        <v>7.5</v>
      </c>
      <c r="L51" s="11" t="n">
        <v>8.5</v>
      </c>
      <c r="M51" s="11" t="n">
        <v>7.2</v>
      </c>
      <c r="N51" s="6" t="s">
        <v>279</v>
      </c>
    </row>
    <row r="52" customFormat="false" ht="60" hidden="false" customHeight="true" outlineLevel="0" collapsed="false">
      <c r="B52" s="19" t="n">
        <v>48</v>
      </c>
      <c r="C52" s="13" t="s">
        <v>53</v>
      </c>
      <c r="D52" s="13" t="s">
        <v>280</v>
      </c>
      <c r="E52" s="13" t="s">
        <v>281</v>
      </c>
      <c r="F52" s="13" t="s">
        <v>225</v>
      </c>
      <c r="G52" s="13" t="s">
        <v>282</v>
      </c>
      <c r="H52" s="20" t="n">
        <v>135</v>
      </c>
      <c r="I52" s="15" t="n">
        <v>7.3</v>
      </c>
      <c r="J52" s="15" t="n">
        <v>8</v>
      </c>
      <c r="K52" s="15" t="n">
        <v>8</v>
      </c>
      <c r="L52" s="15" t="n">
        <v>8.5</v>
      </c>
      <c r="M52" s="15" t="n">
        <v>7.9</v>
      </c>
      <c r="N52" s="7" t="s">
        <v>283</v>
      </c>
    </row>
    <row r="53" customFormat="false" ht="60" hidden="false" customHeight="true" outlineLevel="0" collapsed="false">
      <c r="B53" s="16" t="n">
        <v>49</v>
      </c>
      <c r="C53" s="9" t="s">
        <v>53</v>
      </c>
      <c r="D53" s="9" t="s">
        <v>284</v>
      </c>
      <c r="E53" s="9" t="s">
        <v>285</v>
      </c>
      <c r="F53" s="9" t="s">
        <v>225</v>
      </c>
      <c r="G53" s="9" t="s">
        <v>286</v>
      </c>
      <c r="H53" s="17" t="n">
        <v>140</v>
      </c>
      <c r="I53" s="11" t="n">
        <v>7.3</v>
      </c>
      <c r="J53" s="11" t="n">
        <v>8</v>
      </c>
      <c r="K53" s="11" t="n">
        <v>7.5</v>
      </c>
      <c r="L53" s="11" t="n">
        <v>9</v>
      </c>
      <c r="M53" s="11" t="n">
        <v>7.9</v>
      </c>
      <c r="N53" s="6" t="s">
        <v>287</v>
      </c>
    </row>
    <row r="54" customFormat="false" ht="60" hidden="false" customHeight="true" outlineLevel="0" collapsed="false">
      <c r="B54" s="19" t="n">
        <v>50</v>
      </c>
      <c r="C54" s="13" t="s">
        <v>53</v>
      </c>
      <c r="D54" s="13" t="s">
        <v>288</v>
      </c>
      <c r="E54" s="13" t="s">
        <v>289</v>
      </c>
      <c r="F54" s="13" t="s">
        <v>225</v>
      </c>
      <c r="G54" s="13" t="s">
        <v>290</v>
      </c>
      <c r="H54" s="20" t="n">
        <v>100</v>
      </c>
      <c r="I54" s="15" t="n">
        <v>7.3</v>
      </c>
      <c r="J54" s="15" t="n">
        <v>8</v>
      </c>
      <c r="K54" s="15" t="n">
        <v>7</v>
      </c>
      <c r="L54" s="15" t="n">
        <v>8.5</v>
      </c>
      <c r="M54" s="15" t="n">
        <v>7.7</v>
      </c>
      <c r="N54" s="7" t="s">
        <v>291</v>
      </c>
    </row>
    <row r="55" customFormat="false" ht="46.5" hidden="false" customHeight="true" outlineLevel="0" collapsed="false">
      <c r="B55" s="16" t="n">
        <v>51</v>
      </c>
      <c r="C55" s="9" t="s">
        <v>53</v>
      </c>
      <c r="D55" s="9" t="s">
        <v>292</v>
      </c>
      <c r="E55" s="9" t="s">
        <v>293</v>
      </c>
      <c r="F55" s="9" t="s">
        <v>225</v>
      </c>
      <c r="G55" s="9" t="s">
        <v>294</v>
      </c>
      <c r="H55" s="17" t="n">
        <v>84</v>
      </c>
      <c r="I55" s="11" t="n">
        <v>7.3</v>
      </c>
      <c r="J55" s="11" t="n">
        <v>4</v>
      </c>
      <c r="K55" s="11" t="n">
        <v>7.5</v>
      </c>
      <c r="L55" s="11" t="n">
        <v>8.5</v>
      </c>
      <c r="M55" s="11" t="n">
        <v>6.6</v>
      </c>
      <c r="N55" s="6" t="s">
        <v>295</v>
      </c>
    </row>
    <row r="56" customFormat="false" ht="46.5" hidden="false" customHeight="true" outlineLevel="0" collapsed="false">
      <c r="B56" s="19" t="n">
        <v>52</v>
      </c>
      <c r="C56" s="13" t="s">
        <v>53</v>
      </c>
      <c r="D56" s="13" t="s">
        <v>296</v>
      </c>
      <c r="E56" s="13" t="s">
        <v>297</v>
      </c>
      <c r="F56" s="13" t="s">
        <v>225</v>
      </c>
      <c r="G56" s="13" t="s">
        <v>298</v>
      </c>
      <c r="H56" s="20" t="n">
        <v>136</v>
      </c>
      <c r="I56" s="15" t="n">
        <v>7.3</v>
      </c>
      <c r="J56" s="15" t="n">
        <v>6</v>
      </c>
      <c r="K56" s="15" t="n">
        <v>8</v>
      </c>
      <c r="L56" s="15" t="n">
        <v>8.5</v>
      </c>
      <c r="M56" s="15" t="n">
        <v>7.3</v>
      </c>
      <c r="N56" s="7" t="s">
        <v>299</v>
      </c>
    </row>
    <row r="57" customFormat="false" ht="46.5" hidden="false" customHeight="true" outlineLevel="0" collapsed="false">
      <c r="B57" s="16" t="n">
        <v>53</v>
      </c>
      <c r="C57" s="9" t="s">
        <v>53</v>
      </c>
      <c r="D57" s="9" t="s">
        <v>300</v>
      </c>
      <c r="E57" s="9" t="s">
        <v>301</v>
      </c>
      <c r="F57" s="9" t="s">
        <v>225</v>
      </c>
      <c r="G57" s="9" t="s">
        <v>302</v>
      </c>
      <c r="H57" s="17" t="n">
        <v>116</v>
      </c>
      <c r="I57" s="11" t="n">
        <v>7.3</v>
      </c>
      <c r="J57" s="11" t="n">
        <v>6</v>
      </c>
      <c r="K57" s="11" t="n">
        <v>8</v>
      </c>
      <c r="L57" s="11" t="n">
        <v>8.5</v>
      </c>
      <c r="M57" s="11" t="n">
        <v>7.3</v>
      </c>
      <c r="N57" s="6" t="s">
        <v>303</v>
      </c>
    </row>
    <row r="58" customFormat="false" ht="46.5" hidden="false" customHeight="true" outlineLevel="0" collapsed="false">
      <c r="B58" s="19" t="n">
        <v>54</v>
      </c>
      <c r="C58" s="13" t="s">
        <v>53</v>
      </c>
      <c r="D58" s="13" t="s">
        <v>304</v>
      </c>
      <c r="E58" s="13" t="s">
        <v>305</v>
      </c>
      <c r="F58" s="13" t="s">
        <v>225</v>
      </c>
      <c r="G58" s="13" t="s">
        <v>306</v>
      </c>
      <c r="H58" s="20" t="n">
        <v>82</v>
      </c>
      <c r="I58" s="15" t="n">
        <v>7.3</v>
      </c>
      <c r="J58" s="15" t="n">
        <v>4</v>
      </c>
      <c r="K58" s="15" t="n">
        <v>7.5</v>
      </c>
      <c r="L58" s="15" t="n">
        <v>8.5</v>
      </c>
      <c r="M58" s="15" t="n">
        <v>6.6</v>
      </c>
      <c r="N58" s="7" t="s">
        <v>307</v>
      </c>
    </row>
    <row r="59" customFormat="false" ht="72.75" hidden="false" customHeight="true" outlineLevel="0" collapsed="false">
      <c r="B59" s="16" t="n">
        <v>55</v>
      </c>
      <c r="C59" s="9" t="s">
        <v>53</v>
      </c>
      <c r="D59" s="9" t="s">
        <v>308</v>
      </c>
      <c r="E59" s="9" t="s">
        <v>309</v>
      </c>
      <c r="F59" s="9" t="s">
        <v>225</v>
      </c>
      <c r="G59" s="9" t="s">
        <v>310</v>
      </c>
      <c r="H59" s="17" t="n">
        <v>137</v>
      </c>
      <c r="I59" s="11" t="n">
        <v>7.3</v>
      </c>
      <c r="J59" s="11" t="n">
        <v>8</v>
      </c>
      <c r="K59" s="11" t="n">
        <v>7.5</v>
      </c>
      <c r="L59" s="11" t="n">
        <v>8.5</v>
      </c>
      <c r="M59" s="11" t="n">
        <v>7.8</v>
      </c>
      <c r="N59" s="6" t="s">
        <v>311</v>
      </c>
    </row>
    <row r="60" customFormat="false" ht="46.5" hidden="false" customHeight="true" outlineLevel="0" collapsed="false">
      <c r="B60" s="19" t="n">
        <v>56</v>
      </c>
      <c r="C60" s="13" t="s">
        <v>53</v>
      </c>
      <c r="D60" s="13" t="s">
        <v>312</v>
      </c>
      <c r="E60" s="13" t="s">
        <v>313</v>
      </c>
      <c r="F60" s="13" t="s">
        <v>225</v>
      </c>
      <c r="G60" s="13" t="s">
        <v>314</v>
      </c>
      <c r="H60" s="20" t="n">
        <v>130</v>
      </c>
      <c r="I60" s="15" t="n">
        <v>7.3</v>
      </c>
      <c r="J60" s="15" t="n">
        <v>6</v>
      </c>
      <c r="K60" s="15" t="n">
        <v>7.5</v>
      </c>
      <c r="L60" s="15" t="n">
        <v>8.5</v>
      </c>
      <c r="M60" s="15" t="n">
        <v>7.2</v>
      </c>
      <c r="N60" s="7" t="s">
        <v>315</v>
      </c>
    </row>
    <row r="61" customFormat="false" ht="60" hidden="false" customHeight="true" outlineLevel="0" collapsed="false">
      <c r="B61" s="16" t="n">
        <v>57</v>
      </c>
      <c r="C61" s="9" t="s">
        <v>53</v>
      </c>
      <c r="D61" s="9" t="s">
        <v>316</v>
      </c>
      <c r="E61" s="9" t="s">
        <v>317</v>
      </c>
      <c r="F61" s="9" t="s">
        <v>225</v>
      </c>
      <c r="G61" s="9" t="s">
        <v>318</v>
      </c>
      <c r="H61" s="17" t="n">
        <v>137</v>
      </c>
      <c r="I61" s="11" t="n">
        <v>7.3</v>
      </c>
      <c r="J61" s="11" t="n">
        <v>8</v>
      </c>
      <c r="K61" s="11" t="n">
        <v>7.5</v>
      </c>
      <c r="L61" s="11" t="n">
        <v>8.5</v>
      </c>
      <c r="M61" s="11" t="n">
        <v>7.8</v>
      </c>
      <c r="N61" s="6" t="s">
        <v>319</v>
      </c>
    </row>
    <row r="62" customFormat="false" ht="46.5" hidden="false" customHeight="true" outlineLevel="0" collapsed="false">
      <c r="B62" s="19" t="n">
        <v>58</v>
      </c>
      <c r="C62" s="13" t="s">
        <v>53</v>
      </c>
      <c r="D62" s="13" t="s">
        <v>320</v>
      </c>
      <c r="E62" s="13" t="s">
        <v>321</v>
      </c>
      <c r="F62" s="13" t="s">
        <v>225</v>
      </c>
      <c r="G62" s="13" t="s">
        <v>322</v>
      </c>
      <c r="H62" s="20" t="n">
        <v>92</v>
      </c>
      <c r="I62" s="15" t="n">
        <v>7.3</v>
      </c>
      <c r="J62" s="15" t="n">
        <v>4</v>
      </c>
      <c r="K62" s="15" t="n">
        <v>7</v>
      </c>
      <c r="L62" s="15" t="n">
        <v>9</v>
      </c>
      <c r="M62" s="15" t="n">
        <v>6.6</v>
      </c>
      <c r="N62" s="7" t="s">
        <v>323</v>
      </c>
    </row>
    <row r="63" customFormat="false" ht="46.5" hidden="false" customHeight="true" outlineLevel="0" collapsed="false">
      <c r="B63" s="16" t="n">
        <v>59</v>
      </c>
      <c r="C63" s="9" t="s">
        <v>53</v>
      </c>
      <c r="D63" s="9" t="s">
        <v>324</v>
      </c>
      <c r="E63" s="9" t="s">
        <v>325</v>
      </c>
      <c r="F63" s="9" t="s">
        <v>225</v>
      </c>
      <c r="G63" s="9" t="s">
        <v>326</v>
      </c>
      <c r="H63" s="17" t="n">
        <v>134</v>
      </c>
      <c r="I63" s="11" t="n">
        <v>7.3</v>
      </c>
      <c r="J63" s="11" t="n">
        <v>6</v>
      </c>
      <c r="K63" s="11" t="n">
        <v>8</v>
      </c>
      <c r="L63" s="11" t="n">
        <v>8.5</v>
      </c>
      <c r="M63" s="11" t="n">
        <v>7.3</v>
      </c>
      <c r="N63" s="6" t="s">
        <v>327</v>
      </c>
    </row>
    <row r="64" customFormat="false" ht="46.5" hidden="false" customHeight="true" outlineLevel="0" collapsed="false">
      <c r="B64" s="19" t="n">
        <v>60</v>
      </c>
      <c r="C64" s="13" t="s">
        <v>53</v>
      </c>
      <c r="D64" s="13" t="s">
        <v>328</v>
      </c>
      <c r="E64" s="13" t="s">
        <v>329</v>
      </c>
      <c r="F64" s="13" t="s">
        <v>225</v>
      </c>
      <c r="G64" s="13" t="s">
        <v>330</v>
      </c>
      <c r="H64" s="20" t="n">
        <v>434</v>
      </c>
      <c r="I64" s="15" t="n">
        <v>8.8</v>
      </c>
      <c r="J64" s="15" t="n">
        <v>6</v>
      </c>
      <c r="K64" s="15" t="n">
        <v>7.2</v>
      </c>
      <c r="L64" s="15" t="n">
        <v>9</v>
      </c>
      <c r="M64" s="15" t="n">
        <v>7.7</v>
      </c>
      <c r="N64" s="7" t="s">
        <v>331</v>
      </c>
    </row>
    <row r="65" customFormat="false" ht="60" hidden="false" customHeight="true" outlineLevel="0" collapsed="false">
      <c r="B65" s="16" t="n">
        <v>61</v>
      </c>
      <c r="C65" s="9" t="s">
        <v>53</v>
      </c>
      <c r="D65" s="9" t="s">
        <v>332</v>
      </c>
      <c r="E65" s="9" t="s">
        <v>333</v>
      </c>
      <c r="F65" s="9" t="s">
        <v>225</v>
      </c>
      <c r="G65" s="9" t="s">
        <v>334</v>
      </c>
      <c r="H65" s="17" t="n">
        <v>465</v>
      </c>
      <c r="I65" s="11" t="n">
        <v>8.8</v>
      </c>
      <c r="J65" s="11" t="n">
        <v>8</v>
      </c>
      <c r="K65" s="11" t="n">
        <v>6.7</v>
      </c>
      <c r="L65" s="11" t="n">
        <v>9</v>
      </c>
      <c r="M65" s="18" t="n">
        <v>8.2</v>
      </c>
      <c r="N65" s="6" t="s">
        <v>335</v>
      </c>
    </row>
    <row r="66" customFormat="false" ht="60" hidden="false" customHeight="true" outlineLevel="0" collapsed="false">
      <c r="B66" s="19" t="n">
        <v>62</v>
      </c>
      <c r="C66" s="13" t="s">
        <v>53</v>
      </c>
      <c r="D66" s="13" t="s">
        <v>336</v>
      </c>
      <c r="E66" s="13" t="s">
        <v>337</v>
      </c>
      <c r="F66" s="13" t="s">
        <v>225</v>
      </c>
      <c r="G66" s="13" t="s">
        <v>338</v>
      </c>
      <c r="H66" s="20" t="n">
        <v>357</v>
      </c>
      <c r="I66" s="15" t="n">
        <v>8.8</v>
      </c>
      <c r="J66" s="15" t="n">
        <v>8</v>
      </c>
      <c r="K66" s="15" t="n">
        <v>7.5</v>
      </c>
      <c r="L66" s="15" t="n">
        <v>9</v>
      </c>
      <c r="M66" s="22" t="n">
        <v>8.3</v>
      </c>
      <c r="N66" s="7" t="s">
        <v>339</v>
      </c>
    </row>
    <row r="67" customFormat="false" ht="60" hidden="false" customHeight="true" outlineLevel="0" collapsed="false">
      <c r="B67" s="16" t="n">
        <v>63</v>
      </c>
      <c r="C67" s="9" t="s">
        <v>53</v>
      </c>
      <c r="D67" s="9" t="s">
        <v>340</v>
      </c>
      <c r="E67" s="9" t="s">
        <v>341</v>
      </c>
      <c r="F67" s="9" t="s">
        <v>225</v>
      </c>
      <c r="G67" s="9" t="s">
        <v>342</v>
      </c>
      <c r="H67" s="17" t="n">
        <v>434</v>
      </c>
      <c r="I67" s="11" t="n">
        <v>8.8</v>
      </c>
      <c r="J67" s="11" t="n">
        <v>8</v>
      </c>
      <c r="K67" s="11" t="n">
        <v>7.7</v>
      </c>
      <c r="L67" s="11" t="n">
        <v>8.5</v>
      </c>
      <c r="M67" s="18" t="n">
        <v>8.3</v>
      </c>
      <c r="N67" s="6" t="s">
        <v>343</v>
      </c>
    </row>
    <row r="68" customFormat="false" ht="46.5" hidden="false" customHeight="true" outlineLevel="0" collapsed="false">
      <c r="B68" s="19" t="n">
        <v>64</v>
      </c>
      <c r="C68" s="13" t="s">
        <v>53</v>
      </c>
      <c r="D68" s="13" t="s">
        <v>344</v>
      </c>
      <c r="E68" s="13" t="s">
        <v>345</v>
      </c>
      <c r="F68" s="13" t="s">
        <v>225</v>
      </c>
      <c r="G68" s="13" t="s">
        <v>346</v>
      </c>
      <c r="H68" s="20" t="n">
        <v>296</v>
      </c>
      <c r="I68" s="15" t="n">
        <v>8.3</v>
      </c>
      <c r="J68" s="15" t="n">
        <v>6</v>
      </c>
      <c r="K68" s="15" t="n">
        <v>8</v>
      </c>
      <c r="L68" s="15" t="n">
        <v>8.5</v>
      </c>
      <c r="M68" s="15" t="n">
        <v>7.6</v>
      </c>
      <c r="N68" s="7" t="s">
        <v>347</v>
      </c>
    </row>
    <row r="69" customFormat="false" ht="46.5" hidden="false" customHeight="true" outlineLevel="0" collapsed="false">
      <c r="B69" s="16" t="n">
        <v>65</v>
      </c>
      <c r="C69" s="9" t="s">
        <v>53</v>
      </c>
      <c r="D69" s="9" t="s">
        <v>348</v>
      </c>
      <c r="E69" s="9" t="s">
        <v>349</v>
      </c>
      <c r="F69" s="9" t="s">
        <v>225</v>
      </c>
      <c r="G69" s="9" t="s">
        <v>350</v>
      </c>
      <c r="H69" s="17" t="n">
        <v>426</v>
      </c>
      <c r="I69" s="11" t="n">
        <v>8.8</v>
      </c>
      <c r="J69" s="11" t="n">
        <v>6</v>
      </c>
      <c r="K69" s="11" t="n">
        <v>7.2</v>
      </c>
      <c r="L69" s="11" t="n">
        <v>8.5</v>
      </c>
      <c r="M69" s="11" t="n">
        <v>7.6</v>
      </c>
      <c r="N69" s="6" t="s">
        <v>351</v>
      </c>
    </row>
    <row r="70" customFormat="false" ht="25.5" hidden="false" customHeight="true" outlineLevel="0" collapsed="false">
      <c r="B70" s="23"/>
      <c r="C70" s="23" t="s">
        <v>352</v>
      </c>
      <c r="D70" s="23"/>
      <c r="E70" s="23"/>
      <c r="F70" s="23"/>
      <c r="G70" s="23"/>
      <c r="H70" s="23"/>
      <c r="I70" s="24" t="n">
        <f aca="false">AVERAGE(I5:I69)</f>
        <v>8.13846153846154</v>
      </c>
      <c r="J70" s="24" t="n">
        <f aca="false">AVERAGE(J5:J69)</f>
        <v>5.73846153846154</v>
      </c>
      <c r="K70" s="24" t="n">
        <f aca="false">AVERAGE(K5:K69)</f>
        <v>7.28615384615385</v>
      </c>
      <c r="L70" s="24" t="n">
        <f aca="false">AVERAGE(L5:L69)</f>
        <v>7.18461538461539</v>
      </c>
      <c r="M70" s="24" t="n">
        <f aca="false">AVERAGE(M5:M69)</f>
        <v>7.05692307692308</v>
      </c>
      <c r="N70" s="23"/>
    </row>
  </sheetData>
  <autoFilter ref="B4:N69"/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00"/>
  </cols>
  <sheetData>
    <row r="2" customFormat="false" ht="31.5" hidden="false" customHeight="true" outlineLevel="0" collapsed="false">
      <c r="B2" s="2" t="s">
        <v>353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77</v>
      </c>
      <c r="C4" s="8" t="s">
        <v>354</v>
      </c>
      <c r="D4" s="8" t="s">
        <v>355</v>
      </c>
      <c r="E4" s="8" t="s">
        <v>356</v>
      </c>
    </row>
    <row r="5" customFormat="false" ht="111.75" hidden="false" customHeight="true" outlineLevel="0" collapsed="false">
      <c r="B5" s="16" t="n">
        <v>1</v>
      </c>
      <c r="C5" s="9" t="s">
        <v>357</v>
      </c>
      <c r="D5" s="18" t="n">
        <v>9.2</v>
      </c>
      <c r="E5" s="6" t="s">
        <v>358</v>
      </c>
    </row>
    <row r="6" customFormat="false" ht="99" hidden="false" customHeight="true" outlineLevel="0" collapsed="false">
      <c r="B6" s="19" t="n">
        <v>2</v>
      </c>
      <c r="C6" s="13" t="s">
        <v>359</v>
      </c>
      <c r="D6" s="22" t="n">
        <v>8.5</v>
      </c>
      <c r="E6" s="7" t="s">
        <v>360</v>
      </c>
    </row>
    <row r="7" customFormat="false" ht="99" hidden="false" customHeight="true" outlineLevel="0" collapsed="false">
      <c r="B7" s="16" t="n">
        <v>3</v>
      </c>
      <c r="C7" s="9" t="s">
        <v>361</v>
      </c>
      <c r="D7" s="18" t="n">
        <v>9</v>
      </c>
      <c r="E7" s="6" t="s">
        <v>362</v>
      </c>
    </row>
    <row r="8" customFormat="false" ht="99" hidden="false" customHeight="true" outlineLevel="0" collapsed="false">
      <c r="B8" s="19" t="n">
        <v>4</v>
      </c>
      <c r="C8" s="13" t="s">
        <v>363</v>
      </c>
      <c r="D8" s="22" t="n">
        <v>9</v>
      </c>
      <c r="E8" s="7" t="s">
        <v>364</v>
      </c>
    </row>
    <row r="9" customFormat="false" ht="85.5" hidden="false" customHeight="true" outlineLevel="0" collapsed="false">
      <c r="B9" s="16" t="n">
        <v>5</v>
      </c>
      <c r="C9" s="9" t="s">
        <v>365</v>
      </c>
      <c r="D9" s="11" t="n">
        <v>7</v>
      </c>
      <c r="E9" s="6" t="s">
        <v>366</v>
      </c>
    </row>
    <row r="10" customFormat="false" ht="99" hidden="false" customHeight="true" outlineLevel="0" collapsed="false">
      <c r="B10" s="19" t="n">
        <v>6</v>
      </c>
      <c r="C10" s="13" t="s">
        <v>367</v>
      </c>
      <c r="D10" s="15" t="n">
        <v>6.5</v>
      </c>
      <c r="E10" s="7" t="s">
        <v>368</v>
      </c>
    </row>
    <row r="11" customFormat="false" ht="85.5" hidden="false" customHeight="true" outlineLevel="0" collapsed="false">
      <c r="B11" s="16" t="n">
        <v>7</v>
      </c>
      <c r="C11" s="9" t="s">
        <v>369</v>
      </c>
      <c r="D11" s="18" t="n">
        <v>8</v>
      </c>
      <c r="E11" s="6" t="s">
        <v>370</v>
      </c>
    </row>
    <row r="12" customFormat="false" ht="85.5" hidden="false" customHeight="true" outlineLevel="0" collapsed="false">
      <c r="B12" s="19" t="n">
        <v>8</v>
      </c>
      <c r="C12" s="13" t="s">
        <v>371</v>
      </c>
      <c r="D12" s="22" t="n">
        <v>9.5</v>
      </c>
      <c r="E12" s="7" t="s">
        <v>372</v>
      </c>
    </row>
    <row r="13" customFormat="false" ht="99" hidden="false" customHeight="true" outlineLevel="0" collapsed="false">
      <c r="B13" s="16" t="n">
        <v>9</v>
      </c>
      <c r="C13" s="9" t="s">
        <v>373</v>
      </c>
      <c r="D13" s="12" t="n">
        <v>6</v>
      </c>
      <c r="E13" s="6" t="s">
        <v>374</v>
      </c>
    </row>
    <row r="14" customFormat="false" ht="99" hidden="false" customHeight="true" outlineLevel="0" collapsed="false">
      <c r="B14" s="19" t="n">
        <v>10</v>
      </c>
      <c r="C14" s="13" t="s">
        <v>375</v>
      </c>
      <c r="D14" s="15" t="n">
        <v>7</v>
      </c>
      <c r="E14" s="7" t="s">
        <v>376</v>
      </c>
    </row>
    <row r="15" customFormat="false" ht="45.75" hidden="false" customHeight="true" outlineLevel="0" collapsed="false">
      <c r="B15" s="23"/>
      <c r="C15" s="23" t="s">
        <v>377</v>
      </c>
      <c r="D15" s="24" t="n">
        <f aca="false">AVERAGE(D5:D14)</f>
        <v>7.97</v>
      </c>
      <c r="E15" s="25" t="s">
        <v>378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12"/>
  </cols>
  <sheetData>
    <row r="2" customFormat="false" ht="31.5" hidden="false" customHeight="true" outlineLevel="0" collapsed="false">
      <c r="B2" s="2" t="s">
        <v>379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380</v>
      </c>
      <c r="C4" s="8" t="s">
        <v>381</v>
      </c>
      <c r="D4" s="8" t="s">
        <v>382</v>
      </c>
      <c r="E4" s="8" t="s">
        <v>383</v>
      </c>
    </row>
    <row r="5" customFormat="false" ht="21.75" hidden="false" customHeight="true" outlineLevel="0" collapsed="false">
      <c r="B5" s="9" t="s">
        <v>384</v>
      </c>
      <c r="C5" s="26" t="n">
        <v>65</v>
      </c>
      <c r="D5" s="26" t="n">
        <f aca="false">COUNTA(Панели!E5:E69)</f>
        <v>65</v>
      </c>
      <c r="E5" s="9" t="str">
        <f aca="false">IF(ABS(C5-D5)&lt;0.05,"PASS","FAIL")</f>
        <v>PASS</v>
      </c>
    </row>
    <row r="6" customFormat="false" ht="21.75" hidden="false" customHeight="true" outlineLevel="0" collapsed="false">
      <c r="B6" s="13" t="s">
        <v>385</v>
      </c>
      <c r="C6" s="27" t="n">
        <v>11</v>
      </c>
      <c r="D6" s="27" t="n">
        <f aca="false">COUNTIF(Панели!C5:C69,"Dashboard")</f>
        <v>11</v>
      </c>
      <c r="E6" s="13" t="str">
        <f aca="false">IF(ABS(C6-D6)&lt;0.05,"PASS","FAIL")</f>
        <v>PASS</v>
      </c>
    </row>
    <row r="7" customFormat="false" ht="21.75" hidden="false" customHeight="true" outlineLevel="0" collapsed="false">
      <c r="B7" s="9" t="s">
        <v>386</v>
      </c>
      <c r="C7" s="26" t="n">
        <v>6</v>
      </c>
      <c r="D7" s="26" t="n">
        <f aca="false">COUNTIF(Панели!C5:C69,"Chat")</f>
        <v>6</v>
      </c>
      <c r="E7" s="9" t="str">
        <f aca="false">IF(ABS(C7-D7)&lt;0.05,"PASS","FAIL")</f>
        <v>PASS</v>
      </c>
    </row>
    <row r="8" customFormat="false" ht="21.75" hidden="false" customHeight="true" outlineLevel="0" collapsed="false">
      <c r="B8" s="13" t="s">
        <v>387</v>
      </c>
      <c r="C8" s="27" t="n">
        <v>48</v>
      </c>
      <c r="D8" s="27" t="n">
        <f aca="false">COUNTIF(Панели!C5:C69,"Debates")</f>
        <v>48</v>
      </c>
      <c r="E8" s="13" t="str">
        <f aca="false">IF(ABS(C8-D8)&lt;0.05,"PASS","FAIL")</f>
        <v>PASS</v>
      </c>
    </row>
    <row r="9" customFormat="false" ht="21.75" hidden="false" customHeight="true" outlineLevel="0" collapsed="false">
      <c r="B9" s="9" t="s">
        <v>388</v>
      </c>
      <c r="C9" s="26" t="n">
        <v>7.1</v>
      </c>
      <c r="D9" s="26" t="n">
        <f aca="false">AVERAGE(Панели!M5:M69)</f>
        <v>7.05692307692308</v>
      </c>
      <c r="E9" s="9" t="str">
        <f aca="false">IF(ABS(C9-D9)&lt;0.05,"PASS","FAIL")</f>
        <v>PASS</v>
      </c>
    </row>
    <row r="10" customFormat="false" ht="21.75" hidden="false" customHeight="true" outlineLevel="0" collapsed="false">
      <c r="B10" s="13" t="s">
        <v>389</v>
      </c>
      <c r="C10" s="27" t="n">
        <v>0</v>
      </c>
      <c r="D10" s="27" t="n">
        <f aca="false">COUNTIF(Панели!M5:M69,"&gt;10")+COUNTIF(Панели!M5:M69,"&lt;0")</f>
        <v>0</v>
      </c>
      <c r="E10" s="13" t="str">
        <f aca="false">IF(ABS(C10-D10)&lt;0.05,"PASS","FAIL")</f>
        <v>PASS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2026-09-18T10:42:56Z</dcterms:created>
  <dc:creator>Z.ai</dc:creator>
  <dc:description/>
  <dc:language>en-US</dc:language>
  <cp:lastModifiedBy/>
  <dcterms:modified xsi:type="dcterms:W3CDTF">2026-09-18T10:43:14Z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