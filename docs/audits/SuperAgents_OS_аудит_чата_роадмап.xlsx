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Находки" sheetId="2" state="visible" r:id="rId4"/>
    <sheet name="Роадмап" sheetId="3" state="visible" r:id="rId5"/>
    <sheet name="Тесты и метрики" sheetId="4" state="visible" r:id="rId6"/>
    <sheet name="Review" sheetId="5" state="visible" r:id="rId7"/>
  </sheets>
  <definedNames>
    <definedName function="false" hidden="true" localSheetId="1" name="_xlnm._FilterDatabase" vbProcedure="false">Находки!$B$4:$H$49</definedName>
    <definedName function="false" hidden="true" localSheetId="2" name="_xlnm._FilterDatabase" vbProcedure="false">Роадмап!$B$4:$I$45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<sst xmlns="http://schemas.openxmlformats.org/spreadsheetml/2006/main" count="750" uniqueCount="533">
  <si>
    <t xml:space="preserve">Глубокий аудит чатовой подсистемы — SuperAgents OS</t>
  </si>
  <si>
    <t xml:space="preserve">Паспорт аудита</t>
  </si>
  <si>
    <t xml:space="preserve">Объект</t>
  </si>
  <si>
    <t xml:space="preserve">Чатовая подсистема SuperAgents OS v4.5.0 (egilyad/ai-os-new)</t>
  </si>
  <si>
    <t xml:space="preserve">Ветка / коммит</t>
  </si>
  <si>
    <t xml:space="preserve">fix-debate-text-truncation / d632cf7</t>
  </si>
  <si>
    <t xml:space="preserve">Дата аудита</t>
  </si>
  <si>
    <t xml:space="preserve">2026-09-18</t>
  </si>
  <si>
    <t xml:space="preserve">Глубина</t>
  </si>
  <si>
    <t xml:space="preserve">Построчный разбор ядра чата + typecheck + прогон тестов</t>
  </si>
  <si>
    <t xml:space="preserve">Метод</t>
  </si>
  <si>
    <t xml:space="preserve">3 линии аудита (kernel-сервисы / LLM-слой / store+UI+персистентность), личная верификация каждой критической находки по исходникам</t>
  </si>
  <si>
    <t xml:space="preserve">Охват</t>
  </si>
  <si>
    <t xml:space="preserve">ChatPanel (22 файла, ~4 500 LOC), stores/chat (9 файлов, ~1 670 LOC), 15+ kernel-сервисов (~3 300 LOC), LLM-слой (адаптеры, SSE, декораторы), DAL, конфиги прокси/CSP</t>
  </si>
  <si>
    <t xml:space="preserve">Инструменты</t>
  </si>
  <si>
    <t xml:space="preserve">tsc -b --noEmit (полный), vitest run (чатовые сьюты), ручной трейс событийных потоков</t>
  </si>
  <si>
    <t xml:space="preserve">Итоговая оценка здоровья чата</t>
  </si>
  <si>
    <t xml:space="preserve">5.6 / 10 — ядро продуманное, но стриминг/прокси/персистентность содержат блокирующие дефекты</t>
  </si>
  <si>
    <t xml:space="preserve">Статистика находок</t>
  </si>
  <si>
    <t xml:space="preserve">Всего</t>
  </si>
  <si>
    <t xml:space="preserve">Критических</t>
  </si>
  <si>
    <t xml:space="preserve">Высоких</t>
  </si>
  <si>
    <t xml:space="preserve">Средних</t>
  </si>
  <si>
    <t xml:space="preserve">Низких</t>
  </si>
  <si>
    <t xml:space="preserve">Оценка здоровья по слоям (0–10)</t>
  </si>
  <si>
    <t xml:space="preserve">Слой</t>
  </si>
  <si>
    <t xml:space="preserve">Оценка</t>
  </si>
  <si>
    <t xml:space="preserve">Комментарий</t>
  </si>
  <si>
    <t xml:space="preserve">UI-компоненты (ChatPanel)</t>
  </si>
  <si>
    <t xml:space="preserve">Сильный XSS-пост (DOMPurify, sandbox-iframe); минусы: виртуализатор без измерения высоты, пер-токеные ре-рендеры, {ms}-плейсхолдер, 34 захардкоженные строки</t>
  </si>
  <si>
    <t xml:space="preserve">Store (Zustand, stores/chat)</t>
  </si>
  <si>
    <t xml:space="preserve">Хорошая структура и write-through, но очередь теряет сообщения, stale-active-session гонки, offset-пагинация ломается</t>
  </si>
  <si>
    <t xml:space="preserve">Персистентность (Dexie/hydration)</t>
  </si>
  <si>
    <t xml:space="preserve">Фантомная сессия 'default' — потеря всех сообщений на чистой установке; бесконечный flush-цикл перезаписывает Dexie каждую секунду</t>
  </si>
  <si>
    <t xml:space="preserve">Kernel-сервисы диалогов</t>
  </si>
  <si>
    <t xml:space="preserve">Движок резолвит кэш-попы как пустые ответы, игнорирует уже-aborted сигнал; индекс сообщений не привязан к сессиям</t>
  </si>
  <si>
    <t xml:space="preserve">LLM-слой (адаптеры/HTTP)</t>
  </si>
  <si>
    <t xml:space="preserve">SSE-парсер образцовый, но tool_calls в camelCase, обрыв стримов &gt;120с, отмена Groq трактуется как сбой</t>
  </si>
  <si>
    <t xml:space="preserve">Конфигурация (прокси/CSP)</t>
  </si>
  <si>
    <t xml:space="preserve">10+ провайдеров указывают на несуществующие /proxy/* роуты (404/403), OpenAI теряет /v1, Ollama блокируется CSP</t>
  </si>
  <si>
    <t xml:space="preserve">Безопасность (XSS/инъекции)</t>
  </si>
  <si>
    <t xml:space="preserve">Уязвимостей не найдено: DOMPurify на всех путях, allowlist протоколов, sandbox-iframe без same-origin, eval/Function в родителе отсутствуют</t>
  </si>
  <si>
    <t xml:space="preserve">Тесты и типы</t>
  </si>
  <si>
    <t xml:space="preserve">store.test.ts 36/36 зелёные, но 10/10 рендер-тестов ChatPanel мертвы (устаревший mock), 2391 ошибок typecheck (~122 в чат-зоне)</t>
  </si>
  <si>
    <t xml:space="preserve">i18n чата</t>
  </si>
  <si>
    <t xml:space="preserve">RU/EN полные для основных ключей, но ~34 захардкоженных EN-строки в CodeRunner/VoiceButton/ChatPanel, сломанный '{ms}' и 'Yesterday Prefix'</t>
  </si>
  <si>
    <t xml:space="preserve">Средняя по слоям</t>
  </si>
  <si>
    <t xml:space="preserve">Среднее арифметическое; интегральная оценка здоровья чата с весами критичности — 5.6/10</t>
  </si>
  <si>
    <t xml:space="preserve">Топ-5 рисков</t>
  </si>
  <si>
    <t xml:space="preserve">№</t>
  </si>
  <si>
    <t xml:space="preserve">ID</t>
  </si>
  <si>
    <t xml:space="preserve">Риск</t>
  </si>
  <si>
    <t xml:space="preserve">Последствие</t>
  </si>
  <si>
    <t xml:space="preserve">1</t>
  </si>
  <si>
    <t xml:space="preserve">C-03</t>
  </si>
  <si>
    <t xml:space="preserve">Первый запуск приложения — «чёрная дыра»: сообщения не отображаются и не сохраняются (фантомная сессия 'default')</t>
  </si>
  <si>
    <t xml:space="preserve">Критический UX + потеря данных</t>
  </si>
  <si>
    <t xml:space="preserve">2</t>
  </si>
  <si>
    <t xml:space="preserve">C-01/C-02</t>
  </si>
  <si>
    <t xml:space="preserve">DeepSeek, Kimi, MiniMax, Qwen, Together, Fireworks, BlackBox, Scaleway, CometAPI, GitHub — мертвы (нет прокси-роутов); OpenAI — 404 (потерян /v1)</t>
  </si>
  <si>
    <t xml:space="preserve">Основные провайдеры недоступны из коробки</t>
  </si>
  <si>
    <t xml:space="preserve">3</t>
  </si>
  <si>
    <t xml:space="preserve">H-06/H-05</t>
  </si>
  <si>
    <t xml:space="preserve">Стримы длиннее 120 секунд принудительно обрываются; отмена на Groq карает ключ и перезапускает запрос на другом провайдере</t>
  </si>
  <si>
    <t xml:space="preserve">Прямой расход токенов против воли пользователя</t>
  </si>
  <si>
    <t xml:space="preserve">4</t>
  </si>
  <si>
    <t xml:space="preserve">C-04</t>
  </si>
  <si>
    <t xml:space="preserve">После синка OpenRouter цены попадают в калькулятор в неверных единицах — стоимость занижена в ~1 000 000 раз</t>
  </si>
  <si>
    <t xml:space="preserve">Бюджеты и аналитика недостоверны</t>
  </si>
  <si>
    <t xml:space="preserve">5</t>
  </si>
  <si>
    <t xml:space="preserve">H-08</t>
  </si>
  <si>
    <t xml:space="preserve">Бесконечный цикл перезаписи Dexie каждую секунду в каждом открытом табе</t>
  </si>
  <si>
    <t xml:space="preserve">Износ IndexedDB, расход батареи/CPU</t>
  </si>
  <si>
    <t xml:space="preserve">•</t>
  </si>
  <si>
    <t xml:space="preserve">SSE-парсер (src/llm/http/sse-parser.ts) образцово обрабатывает разрывы буфера, CRLF, multi-line data, [DONE] и keep-alive</t>
  </si>
  <si>
    <t xml:space="preserve">XSS-защита образцовая: DOMPurify на всех путях рендера, allowlist http/https/mailto/tel, iframe sandbox без same-origin, отказ от eval/Function</t>
  </si>
  <si>
    <t xml:space="preserve">Декоратор retry отказывается переигрывать стримы с уже отданными чанками; circuit breaker исключает пользовательские аборты</t>
  </si>
  <si>
    <t xml:space="preserve">store.test.ts — 36/36 зелёных; ядро стора аккуратно покрыто</t>
  </si>
  <si>
    <t xml:space="preserve">Грамотные FIX-комментарии (chat-partial, chat-persistence, chat-agent) показывают зрелый процесс починки регрессий</t>
  </si>
  <si>
    <t xml:space="preserve">Полный перечень — лист «Находки»; план работ — лист «Роадмап»; факты проверки — лист «Тесты и метрики».</t>
  </si>
  <si>
    <t xml:space="preserve">Реестр находок аудита чата (45 позиций, верифицированы по исходникам)</t>
  </si>
  <si>
    <t xml:space="preserve">Серьёзность</t>
  </si>
  <si>
    <t xml:space="preserve">Файл(ы) : строки</t>
  </si>
  <si>
    <t xml:space="preserve">Заголовок</t>
  </si>
  <si>
    <t xml:space="preserve">Сценарий и последствия</t>
  </si>
  <si>
    <t xml:space="preserve">Рекомендация по исправлению</t>
  </si>
  <si>
    <t xml:space="preserve">C-01</t>
  </si>
  <si>
    <t xml:space="preserve">Критический</t>
  </si>
  <si>
    <t xml:space="preserve">Конфигурация</t>
  </si>
  <si>
    <t xml:space="preserve">src/llm/registry/adapter-factory.ts:126-204; src/llm/openai-compatible/openai-compatible-adapter.ts:56; vite.config.ts:118-175; docker/nginx.conf:73-160</t>
  </si>
  <si>
    <t xml:space="preserve">10+ провайдеров шлют трафик на несуществующие /proxy/* роуты</t>
  </si>
  <si>
    <t xml:space="preserve">useProxy=true подменяет базовый URL на /proxy/&lt;id&gt;, но роуты описаны только для gemini/openrouter/nvidia/groq/cerebras/cloudflare/openai. DeepSeek, Kimi, MiniMax, Qwen, Together, Fireworks, BlackBox, Scaleway, CometAPI, GitHub получают 404 (dev, SPA-fallback) или 403 (prod, nginx catch-all deny all). Провайдеры включены в provider-default-models.ts и видны в UI.</t>
  </si>
  <si>
    <t xml:space="preserve">Либо добавить явные /proxy/&lt;id&gt; роуты в vite.config.ts и nginx.conf (по образцу groq), либо передавать useProxy=false и добавить хосты провайдеров в CSP connect-src.</t>
  </si>
  <si>
    <t xml:space="preserve">C-02</t>
  </si>
  <si>
    <t xml:space="preserve">src/llm/registry/adapter-factory.ts:123-125; vite.config.ts:156-161; docker/entrypoint.sh:19</t>
  </si>
  <si>
    <t xml:space="preserve">OpenAI теряет префикс /v1 при проксировании — все запросы 404</t>
  </si>
  <si>
    <t xml:space="preserve">Адаптер создаётся с baseUrl https://api.openai.com/v1, но useProxy отбрасывает его: /proxy/openai/chat/completions → https://api.openai.com/chat/completions (без /v1) → 404 и в dev, и в prod (PROXY_OPENAI=https://api.openai.com). Groq/Cerebras работают лишь потому, что их прокси-таргеты содержат /v1.</t>
  </si>
  <si>
    <t xml:space="preserve">Добавить /v1 в прокси-таргет (https://api.openai.com/v1) либо композиционировать версионированный путь в адаптере.</t>
  </si>
  <si>
    <t xml:space="preserve">Персистентность</t>
  </si>
  <si>
    <t xml:space="preserve">src/stores/chat/hydration.ts:140-151; src/stores/chat/store-helpers.ts:14-24; src/stores/chat/chat-send-message.ts:234-266</t>
  </si>
  <si>
    <t xml:space="preserve">Фантомная сессия 'default': на чистой установке все сообщения молча теряются</t>
  </si>
  <si>
    <t xml:space="preserve">При пустом Dexie liveQuery отдаёт sessions=[], но activeSessionId откатывается на DEFAULT_SESSION.id ('default'), которого в списке нет. updateSessionInList возвращает массив без изменений (id не найден): write-through syncSessions пишет пустоту, set() в sendMessage — no-op, STREAM_CHUNK/END — no-op. Пользователь печатает, спиннер крутится, ничего не появляется и не сохраняется. 'default' намеренно не персистится (session-manager-service.ts:373).</t>
  </si>
  <si>
    <t xml:space="preserve">При пустом cleaned — сеять sessions:[DEFAULT_SESSION] (или сразу создавать персистентную сессию); в updateSessionInList при отсутствии активной сессии — добавлять её в список.</t>
  </si>
  <si>
    <t xml:space="preserve">LLM-слой</t>
  </si>
  <si>
    <t xml:space="preserve">src/kernel/services/pricing-service.ts:279-289 против 168-173 и 8-41</t>
  </si>
  <si>
    <t xml:space="preserve">Цены per-token попадают в калькулятор per-1M — стоимость ошибается в 10^6 раз</t>
  </si>
  <si>
    <t xml:space="preserve">syncFromOpenRouter() пишет parseFloat(p.prompt) (OpenRouter отдаёт цену за токен, например 0.00000225), а calculateCost считает (tokens/1_000_000)*price — расчёт рассчитан на цену за 1M токенов (как FALLBACK_PRICING). После первого синка все синхронизированные модели стоят в ~1 000 000 раз дешевле; смешанная таблица делает префикс-матч непоследовательным.</t>
  </si>
  <si>
    <t xml:space="preserve">Умножать распарсенные значения на 1e6 при записи в pricingData (или хранить per-token и убрать делитель в calculateCost). Покрыть тестом единиц измерения.</t>
  </si>
  <si>
    <t xml:space="preserve">H-01</t>
  </si>
  <si>
    <t xml:space="preserve">Высокий</t>
  </si>
  <si>
    <t xml:space="preserve">Kernel-сервисы</t>
  </si>
  <si>
    <t xml:space="preserve">src/kernel/services/conversation-execution-engine.ts:101-112; src/kernel/services/chat-executor.ts:804-815, 311-330</t>
  </si>
  <si>
    <t xml:space="preserve">Кэш-поп в движке диалогов резолвится как успешный пустой ответ</t>
  </si>
  <si>
    <t xml:space="preserve">emitStatus(req,'cached') шлёт MESSAGE_RESPONSE с content:'' ДО реального ответа status:'done'. Движок резолвит промис на первом подходящем MESSAGE_RESPONSE и отписывается — до 'done' не доживает: {success:true, content:''}. CacheService подключён всегда (phase6-high-level.ts:115, TTL 5 мин, персистентный): повтор сценария с тем же первым промптом детерминированно даёт пустые ходы в истории диалога.</t>
  </si>
  <si>
    <t xml:space="preserve">Резолвить только на терминальных статусах (done/error/cancelled/timeout) либо не переиспользовать канал MESSAGE_RESPONSE для промежуточных статусов.</t>
  </si>
  <si>
    <t xml:space="preserve">H-02</t>
  </si>
  <si>
    <t xml:space="preserve">src/kernel/services/conversation-execution-engine.ts:121-135</t>
  </si>
  <si>
    <t xml:space="preserve">Уже-aborted сигнал сессии игнорируется — отмена не останавливает LLM-вызов</t>
  </si>
  <si>
    <t xml:space="preserve">addEventListener('abort') не срабатывает, если сигнал уже aborted. Достижимо: director создаёт контроллер заранее, abort() во время await policy.proposeNextTurn() оставляет сигнал aborted до того, как execute() повесит слушатель (пост-проверки после await в processNextStep нет). LLM-вызов доигрывается до конца (реальный расход), результат записывается как нормальный ход «отменённого» запуска.</t>
  </si>
  <si>
    <t xml:space="preserve">В начале execute() проверять sessionSignal.aborted и сразу резолвить {success:false, error:'Aborted'}; после каждого await в processNextStep — повторная проверка aborted.</t>
  </si>
  <si>
    <t xml:space="preserve">H-03</t>
  </si>
  <si>
    <t xml:space="preserve">src/kernel/services/message-index-service.ts:133-178; src/stores/chat/chat-send-message.ts:272-287</t>
  </si>
  <si>
    <t xml:space="preserve">Индекс сообщений: всё помечается sessionId='unknown' — поиск по сессии мёртв</t>
  </si>
  <si>
    <t xml:space="preserve">setCurrentSession() не вызывается ни разу в кодовой базе, эмиттеры SEND_MESSAGE не передают sessionId. Каждое проиндексированное сообщение получает sessionId:'unknown': фильтр по сессии в search() и uniqueSessions() — мёртвый код, CHAT_REWOUND-чистка никогда не совпадает.</t>
  </si>
  <si>
    <t xml:space="preserve">Прокидывать sessionId в payload SEND_MESSAGE и штамповать обе записи (user+assistant) из буфера запроса при STREAM_END.</t>
  </si>
  <si>
    <t xml:space="preserve">H-04</t>
  </si>
  <si>
    <t xml:space="preserve">src/llm/core/base-adapter.ts:35-42</t>
  </si>
  <si>
    <t xml:space="preserve">История tool-вызовов сериализуется в camelCase (toolCalls) вместо wire-формата tool_calls</t>
  </si>
  <si>
    <t xml:space="preserve">OpenAI-совместимый wire-формат требует tool_calls/tool_call_id. Затрагивает OpenRouter (mapMessages:true) и NVIDIA, а через passthrough-ветку — OpenAI-compatible/DeepSeek/Cloudflare. role:'tool' без tool_call_id → 400 у строгих провайдеров; история tool-вызовов невидима у снисходительных — ломаются многоходовые tool-циклы.</t>
  </si>
  <si>
    <t xml:space="preserve">Мэпить в tool_calls/tool_call_id в обеих ветках buildRequestBody (эталон — groq-adapter.ts:58-63).</t>
  </si>
  <si>
    <t xml:space="preserve">H-05</t>
  </si>
  <si>
    <t xml:space="preserve">src/llm/groq/groq-adapter.ts:193-205; src/kernel/services/chat-executor.ts:577-598</t>
  </si>
  <si>
    <t xml:space="preserve">Отмена пользователем на Groq классифицируется как сбой провайдера и переотправляется</t>
  </si>
  <si>
    <t xml:space="preserve">groq-sdk превращает AbortError в APIUserAbortError (обычный Error). Проверка executor'а `error instanceof DOMException &amp;&amp; name==='AbortError'` не срабатывает → handleProviderError штрафует ключ, провайдер исключается и отменённый запрос выполняется повторно на фолбэке — противоположность отмене, плюс ложная деградация здоровья ключа.</t>
  </si>
  <si>
    <t xml:space="preserve">В normalizeError распознавать name==='APIUserAbortError' (или пробрасывать DOMException); в executor'е трактовать «аборт при signal.aborted» как отмену.</t>
  </si>
  <si>
    <t xml:space="preserve">H-06</t>
  </si>
  <si>
    <t xml:space="preserve">src/llm/http/llm-http-client.ts:133-151, 377-453</t>
  </si>
  <si>
    <t xml:space="preserve">Таймер таймаута 120с не очищается для стримов — длинные ответы обрываются</t>
  </si>
  <si>
    <t xml:space="preserve">streamPost возвращает Response в finally без clearTimeout: таймер #withTimeout остаётся заряженным и абортит fetch-сигнал посреди тела на PROVIDER_HTTP_TIMEOUT_MS (120с). Любая генерация дольше 2 минут (длинные ответы, reasoning-модели) гибнет с TimeoutError → LLMError 408 → executor трактует как сбой провайдера, штрафует ключ и уходит в фолбэк — ответ потерян целиком.</t>
  </si>
  <si>
    <t xml:space="preserve">Очищать таймер при получении заголовков в streamPost (или применять таймаут только до первого байта).</t>
  </si>
  <si>
    <t xml:space="preserve">H-07</t>
  </si>
  <si>
    <t xml:space="preserve">src/llm/groq/groq-adapter.ts:125-134</t>
  </si>
  <si>
    <t xml:space="preserve">Groq-стрим выбрасывает finish_reason, usage и tool_calls — бюджет считает $0</t>
  </si>
  <si>
    <t xml:space="preserve">Единственный адаптер без терминального onChunk('', {finishReason, tokens}). llm-client-service падает на оценку content.length/4, chat-executor пишет tokens: result.tokens || 0 → STREAM_END → BudgetService считает $0 для каждого Groq-стрима; обрезка finish_reason:'length' невидима пользователю.</t>
  </si>
  <si>
    <t xml:space="preserve">Накапливать finish_reason / usage / delta.tool_calls и эмитить терминальный мета-чанк (эталон — openai-compatible-adapter.ts:159-165).</t>
  </si>
  <si>
    <t xml:space="preserve">src/stores/chat/hydration.ts:47-69, 200-209</t>
  </si>
  <si>
    <t xml:space="preserve">Бесконечный flush-цикл: полная перезапись Dexie каждую секунду</t>
  </si>
  <si>
    <t xml:space="preserve">finally-блок flush всегда аллоцирует новый Set → subscribe срабатывает на каждом завершении flush; epoch-скип не применяется (lastFlushEpoch выровнен в начале flush), и timer перепланируется — вечно, даже без изменений. Каждый цикл переписывает до 100 сессий (get+put в транзакции), бесконечно раздувая version и сжигая IO/CPU во всех табах.</t>
  </si>
  <si>
    <t xml:space="preserve">setState только если deletedIds реально сократился; скипать flush, если сериализованный payload не изменился.</t>
  </si>
  <si>
    <t xml:space="preserve">H-09</t>
  </si>
  <si>
    <t xml:space="preserve">Store</t>
  </si>
  <si>
    <t xml:space="preserve">src/stores/chat/chat-send-message.ts:78-86, 306-319; src/components/ChatPanel/ResponseCard.tsx:229-238</t>
  </si>
  <si>
    <t xml:space="preserve">Очередь отправки выбрасывает сообщения во время стрима первой отправки</t>
  </si>
  <si>
    <t xml:space="preserve">Первый sendMessage резолвится сразу после эмита SEND_MESSAGE (стрим идёт секунды). finally декврует следующее сообщение, но глобальный isAnySending() ещё true → тост «Cannot send» и выход — декврованный текст НЕ отправлен, НЕ возвращён в очередь и НЕ восстановлен. Достижимо из UI: кнопки regenerate/retry не задизейблены во время стрима. Отправка во вторую сессию во время стрима также блокируется глобально.</t>
  </si>
  <si>
    <t xml:space="preserve">Ре-очередь сообщения до опустошения activeRequestIds (или отложенный dequeue по терминальному событию).</t>
  </si>
  <si>
    <t xml:space="preserve">H-10</t>
  </si>
  <si>
    <t xml:space="preserve">src/stores/chat/chat-event-handlers.ts:112-127; src/components/ChatPanel/ChatPanel.tsx:56</t>
  </si>
  <si>
    <t xml:space="preserve">Обновление стора на каждый токен — полный ре-рендер панели на каждый чанк</t>
  </si>
  <si>
    <t xml:space="preserve">STREAM_CHUNK форвардится per-SSE-событие без rAF/временного батчинга: каждый чанк пересобирает массивы sessions/history/responses и триггерит всех подписчиков, включая ChatPanel (селектор на sessions). При длинном стриме — сотни полных ре-рендеров панели (хедер, сайдбар, агент-селектор) в секунду.</t>
  </si>
  <si>
    <t xml:space="preserve">Коалесцировать чанки через requestAnimationFrame (16-25мс) перед set(); сузить подписки ChatPanel.</t>
  </si>
  <si>
    <t xml:space="preserve">H-11</t>
  </si>
  <si>
    <t xml:space="preserve">UI</t>
  </si>
  <si>
    <t xml:space="preserve">src/components/ChatPanel/ChatMessagesSection.tsx:54-59, 107-118, 80-83</t>
  </si>
  <si>
    <t xml:space="preserve">Виртуализатор с фиксированной высотой 120px без измерения — наложения и сломанный автоскролл</t>
  </si>
  <si>
    <t xml:space="preserve">Строки позиционируются абсолютно с оценочной высотой (estimateSize:()=&gt;120), measureElement не используется. Любое сообщение выше 120px (то есть почти любой ответ ассистента) налезает на следующую строку, getTotalSize() неверен, scrollToIndex по оценкам промахивается, а как только реальный контент превысит оценочный низ на 100px, userScrolledUpRef ложноположительно срабатывает — автоскролл стрима останавливается без участия пользователя.</t>
  </si>
  <si>
    <t xml:space="preserve">Рендерить через virtualizer.measureElement (динамическое измерение) и якорить автоскролл по нижнему элементу.</t>
  </si>
  <si>
    <t xml:space="preserve">H-12</t>
  </si>
  <si>
    <t xml:space="preserve">Тесты</t>
  </si>
  <si>
    <t xml:space="preserve">src/components/ChatPanel/ChatPanel.test.tsx (mock ../../kernel/instances)</t>
  </si>
  <si>
    <t xml:space="preserve">10/10 рендер-тестов флагманской панели мертвы: устаревший mock без rootLogger</t>
  </si>
  <si>
    <t xml:space="preserve">Модуль kernel/instances обзавёлся экспортом rootLogger, но vi.mock в тесте не обновлён — каждый тест падает с «No rootLogger export is defined on the mock». Рендер-покрытие ChatPanel фактически нулевое при «зелёном» CI-виде (vitest считает файл упавшим, но в выборке chat-zone его легко не заметить).</t>
  </si>
  <si>
    <t xml:space="preserve">Дополнить vi.mock экспортом rootLogger (или importOriginal); добавить CI-гейт на падающие чат-тесты.</t>
  </si>
  <si>
    <t xml:space="preserve">H-13</t>
  </si>
  <si>
    <t xml:space="preserve">Тесты/типы</t>
  </si>
  <si>
    <t xml:space="preserve">tsc -b --noEmit: 2391 ошибок всего; src/stores/chat/types.ts:105-107 и др.</t>
  </si>
  <si>
    <t xml:space="preserve">Typecheck красный: 2391 ошибок по проекту, ~122 в чат-зоне</t>
  </si>
  <si>
    <t xml:space="preserve">npm run build существует в варианте build:skip-typecheck с WARN-сообщением «broken types will NOT fail this build» — типы не являются гейтом. В чат-зоне: async-методы стора объявлены как void (types.ts:105-107), ChatPanel вызывает .then/.catch на «void» (436, 460, 487-502), ChatDock/PersonaSelector — битые/неиспользуемые импорты. Runtime это не роняет (реально возвращается Promise), но контракт типов лжив и маскирует реальные ошибки.</t>
  </si>
  <si>
    <t xml:space="preserve">Исправить сигнатуры (Promise&lt;void&gt;) и довести чат-зону до 0 ошибок tsc; включить typecheck в CI-гейт.</t>
  </si>
  <si>
    <t xml:space="preserve">M-01</t>
  </si>
  <si>
    <t xml:space="preserve">Средний</t>
  </si>
  <si>
    <t xml:space="preserve">src/kernel/services/message-index-service.ts:95-103</t>
  </si>
  <si>
    <t xml:space="preserve">CHAT_REWOUND никогда не эмитится; хендлер сносит весь индекс сессии</t>
  </si>
  <si>
    <t xml:space="preserve">Событие chat:rewound не эмитится нигде — ветка мёртвая, инвалидация индекса при rewind не работает. Контракт payload ({sessionId, messageId, truncatedCount}) описывает усечение хвоста, а хендлер удаляет ВСЕ сообщения сессии — ждёт первого эмиттера, чтобы разойтись с источником истины.</t>
  </si>
  <si>
    <t xml:space="preserve">Эмитить CHAT_REWOUND из пути rewind (или удалить мёртвую подписку); удалять только усечённый хвост.</t>
  </si>
  <si>
    <t xml:space="preserve">M-02</t>
  </si>
  <si>
    <t xml:space="preserve">src/kernel/services/session-manager-service.ts:381-383, 418-421</t>
  </si>
  <si>
    <t xml:space="preserve">getDebateHistory возвращает пустоту во время загрузки; при ошибке история не загрузится никогда</t>
  </si>
  <si>
    <t xml:space="preserve">ensureHistoryLoaded() ставит _historyLoaded=true ДО await стора; результат загрузки никем не оповещается. DebateHistoryPage и DebatePanel читают синхронно на монтировании → пустая история до случайного debate:updated. Если loadHistoryList упадёт — ошибка проглочена, флаг остаётся true, ретрая загрузки нет до перезапуска приложения.</t>
  </si>
  <si>
    <t xml:space="preserve">Сделать getDebateHistory асинхронным (или эмитить уведомление после начальной загрузки) и сбрасывать флаг при ошибке.</t>
  </si>
  <si>
    <t xml:space="preserve">M-03</t>
  </si>
  <si>
    <t xml:space="preserve">src/kernel/services/session-manager-service.ts:414-421; src/kernel/services/debate-runtime/debate-session-persistence.ts:46-81</t>
  </si>
  <si>
    <t xml:space="preserve">Круговой путь персистенции дебат-истории стирает tags/folder/isArchived</t>
  </si>
  <si>
    <t xml:space="preserve">persistHistoryList → sessionToRecord() не переносит tags/folder/isArchived в DebateSessionRecord, а saveSnapshot делает full put-замену. Каждая запись истории (новый дебат, restore, delete, clear — переписывает ВСЕ записи) стирает теги/папки и воскрешает архивированные дебаты.</t>
  </si>
  <si>
    <t xml:space="preserve">Прокидывать tags/folder/isArchived через recordToSession/sessionToRecord либо merge-сохранять неизвестные поля записи в saveSnapshot.</t>
  </si>
  <si>
    <t xml:space="preserve">M-04</t>
  </si>
  <si>
    <t xml:space="preserve">src/kernel/services/session-affinity-store.ts:39-55, 105-125; session-manager-service.ts:324</t>
  </si>
  <si>
    <t xml:space="preserve">Аффинити-биндинги: reap не персистится, удаление сессии не развязывает — рост навсегда</t>
  </si>
  <si>
    <t xml:space="preserve">reapExpired() удаляет биндинги из памяти, но persistBindings() не вызывает — после перезагрузки «призрачные» биндинги воскрешаются. SESSION_DELETED никто не обрабатывает, а router-ranking биндит каждый чат-сеанс; здоровые биндинги без TTL — карта и JSON в Dexie растут месяцами.</t>
  </si>
  <si>
    <t xml:space="preserve">Персистить после reap; подписаться на SESSION_DELETED (или добавить age-TTL) с персистенцией удаления.</t>
  </si>
  <si>
    <t xml:space="preserve">M-05</t>
  </si>
  <si>
    <t xml:space="preserve">src/kernel/services/chat-bookmarks-service.ts:54-83, 153-174</t>
  </si>
  <si>
    <t xml:space="preserve">Закладки: CAS-циклы сдаются молча — потерянные/призрачные закладки</t>
  </si>
  <si>
    <t xml:space="preserve">storage.save/delete после 3 неудач CAS не бросают исключение: addBookmark кэширует и эмитит CHAT_BOOKMARK_ADDED для незаписанной закладки (пропадёт после перезагрузки), removeBookmark удаляет из кэша при живой записи в БД (воскреснет). Двойной клик проходит дедуп до записи — две закладки на один message.</t>
  </si>
  <si>
    <t xml:space="preserve">Бросать исключение после исчерпания попыток; ставить in-flight-маркер в кэш до await.</t>
  </si>
  <si>
    <t xml:space="preserve">M-06</t>
  </si>
  <si>
    <t xml:space="preserve">src/stores/chat/store.ts:19-28, 203-207, 252, 562-603, 655</t>
  </si>
  <si>
    <t xml:space="preserve">clearHistory/switchModel/switchKey/setAgent/editEntry пишут в переключённую сессию</t>
  </si>
  <si>
    <t xml:space="preserve">updateActiveSession резолвит сессию в момент вызова, но вызовы происходят после await (persist/lock). Если пользователь переключил сессию во время await clearHistory — uas(()=&gt;[]) сносит историю УЖЕ ДРУГОЙ активной сессии, и flush через 1с персистит потерю. Для switchModel/setAgent/editEntry системная запись/правка попадает в чужую сессию.</t>
  </si>
  <si>
    <t xml:space="preserve">Захватывать sessionId до первого await и патчить конкретную сессию через updateSessionInList, минуя uas.</t>
  </si>
  <si>
    <t xml:space="preserve">M-07</t>
  </si>
  <si>
    <t xml:space="preserve">src/components/ChatPanel/ChatInputArea.tsx:43-57; src/components/ChatPanel/ChatPanel.tsx:203-216</t>
  </si>
  <si>
    <t xml:space="preserve">Текст ввода уничтожается до отправки; ошибка persist теряет сообщение навсегда</t>
  </si>
  <si>
    <t xml:space="preserve">handleSend очищает input ДО await onSend (sendMessage пробрасывает ошибку при сбое write-through). handleSend не awaiting и не catch → потеря текста пользователя + unhandled promise rejection при каждом сбое Dexie.</t>
  </si>
  <si>
    <t xml:space="preserve">catch в handleSend с восстановлением input (или очищать только после принятия записи стором).</t>
  </si>
  <si>
    <t xml:space="preserve">M-08</t>
  </si>
  <si>
    <t xml:space="preserve">src/stores/chat/store.ts:263-274; src/components/ChatPanel/ChatPanel.tsx:274-284</t>
  </si>
  <si>
    <t xml:space="preserve">createSession при ошибке возвращает '' — панель переключается на несуществующую сессию</t>
  </si>
  <si>
    <t xml:space="preserve">createSession глотает ошибку и возвращает '', поэтому try/catch в handleNewChat никогда не срабатывает, а setActiveSessionId('') затирает персистентный chat_active_session_id и указывает активную сессию «в никуда» (дальше — фантомная сессия C-03).</t>
  </si>
  <si>
    <t xml:space="preserve">Бросать исключение из createSession (или проверять if (newId) перед setActiveSessionId).</t>
  </si>
  <si>
    <t xml:space="preserve">M-09</t>
  </si>
  <si>
    <t xml:space="preserve">src/stores/chat/store.ts:75-88</t>
  </si>
  <si>
    <t xml:space="preserve">loadMoreSessions: offset по длине sessions (включая in-memory) навсегда пропускает сессии</t>
  </si>
  <si>
    <t xml:space="preserve">offset = sessions.length, но в списке могут быть не-Dexie записи (in-memory 'default' после deleteSession, пре-гидрационные) — они сдвигают offset в Dexie, реальные строки пропускаются и никогда не догружаются (offset только растёт).</t>
  </si>
  <si>
    <t xml:space="preserve">Держать отдельный счётчик загруженных из БД строк или пагинировать курсором по updatedAt.</t>
  </si>
  <si>
    <t xml:space="preserve">M-10</t>
  </si>
  <si>
    <t xml:space="preserve">src/stores/chat/chat-send-message.ts:237-266</t>
  </si>
  <si>
    <t xml:space="preserve">Write-through персистит несрезанную историю — расхождение памяти и Dexie</t>
  </si>
  <si>
    <t xml:space="preserve">syncSessions получает history без .slice(-MAX_HISTORY), а in-memory set() срезает до 200. Dexie накапливает &gt;200 записей, после перезагрузки «лишние» старые записи воскрешаются — два источника истины расходятся.</t>
  </si>
  <si>
    <t xml:space="preserve">Применять одинаковый .slice(-MAX_HISTORY) перед syncSessions.</t>
  </si>
  <si>
    <t xml:space="preserve">M-11</t>
  </si>
  <si>
    <t xml:space="preserve">src/kernel/services/chat-executor.ts:600-614</t>
  </si>
  <si>
    <t xml:space="preserve">429-фолбэк без задержки: Retry-After игнорируется, провайдеры выжигаются мгновенно</t>
  </si>
  <si>
    <t xml:space="preserve">Цикл переключения провайдеров при 429 не делает паузу (retryAfter из RetryableError не используется) — при аккаунтовом лимите все MAX_429_RETRIES провайдеров отстреливаются подряд за миллисекунды и все фейлятся.</t>
  </si>
  <si>
    <t xml:space="preserve">Хонорить RetryableError.retryAfter задержкой перед re-dispatch.</t>
  </si>
  <si>
    <t xml:space="preserve">M-12</t>
  </si>
  <si>
    <t xml:space="preserve">src/llm/openai-compatible/openai-compatible-adapter.ts:129; src/llm/nvidia/nvidia-nim-adapter.ts:119; src/kernel/services/llm-client-service.ts:101-104</t>
  </si>
  <si>
    <t xml:space="preserve">Стримы не запрашивают usage (stream_options) — токены считаются по chars/4</t>
  </si>
  <si>
    <t xml:space="preserve">OpenAI и NVIDIA отдают usage в стриме только при stream_options:{include_usage:true} — флаг не ставится нигде. Фолбэк Math.ceil(content.length/4) занижает кириллицу ~в 2 раза (а русский — первоклассный язык продукта); промпт-токены не учитываются вовсе. Эти числа кормят recordUsage, tps, STREAM_END → BudgetService.</t>
  </si>
  <si>
    <t xml:space="preserve">Ставить stream_options при stream=true (с guard для не поддерживающих провайдеров); использовать CJK/Cyrillic-aware estimateTokenCount и оценивать промпт-токены.</t>
  </si>
  <si>
    <t xml:space="preserve">M-13</t>
  </si>
  <si>
    <t xml:space="preserve">src/llm/openai-compatible/openai-compatible-adapter.ts:144-154; src/llm/nvidia/nvidia-nim-adapter.ts:119</t>
  </si>
  <si>
    <t xml:space="preserve">Дельты streamed tool_calls игнорируются — стрим с инструментами не собирает вызовы</t>
  </si>
  <si>
    <t xml:space="preserve">Экстрактор читает только delta.content/reasoning_content: аккумуляции tool_calls по index нет, в терминальном мета их нет. Любой стрим с options.tools (OpenAI-compatible, DeepSeek, NVIDIA, Cloudflare) отдаёт контент без tool-вызовов, хотя non-streaming путь их поддерживает — поведение зависит от транспорта.</t>
  </si>
  <si>
    <t xml:space="preserve">Аккумулировать delta.tool_calls по index и отдавать в терминальном мета (StreamMeta.toolCalls).</t>
  </si>
  <si>
    <t xml:space="preserve">M-14</t>
  </si>
  <si>
    <t xml:space="preserve">src/llm/cloudflare/cloudflare-adapter.ts:82-85, 111, 118-119</t>
  </si>
  <si>
    <t xml:space="preserve">Cloudflare finish_reason не нормализован — отбрасывается валидатором</t>
  </si>
  <si>
    <t xml:space="preserve">Адаптер эмитит сырые 'stop'/'length', а llm-client-service валидирует только UPPERCASE AdapterFinishReason ('STOP','MAX_TOKENS'...) — значение всегда становится undefined, обрезка length невидима. Non-streaming путь вообще не возвращает finishReason. Все прочие адаптеры прогоняют через normalizeFinishReason.</t>
  </si>
  <si>
    <t xml:space="preserve">Прогонять терминальный мета через normalizeFinishReason и возвращать finishReason из doSendMessage.</t>
  </si>
  <si>
    <t xml:space="preserve">M-15</t>
  </si>
  <si>
    <t xml:space="preserve">src/llm/registry/adapter-factory.ts:239-244; src/llm/groq/groq-adapter.ts:44</t>
  </si>
  <si>
    <t xml:space="preserve">Амплификация ретраев: SDK maxRetries:2 внутри RetryDecorator maxRetries:3</t>
  </si>
  <si>
    <t xml:space="preserve">Groq SDK ретраит сам (2 попытки), будучи обёрнутым в RetryDecorator (3 попытки): один логический вызов при 5xx → до 12 upstream POST с каждым своим 120с таймаутом — минуты ожидания до фолбэка и риск повторного биллинга.</t>
  </si>
  <si>
    <t xml:space="preserve">maxRetries:0 в SDK (или учитывать SDK-ретраи в декораторе).</t>
  </si>
  <si>
    <t xml:space="preserve">M-16</t>
  </si>
  <si>
    <t xml:space="preserve">src/llm/registry/adapter-factory.ts:211-221; vite.config.ts:114; docker/nginx.conf (CSP)</t>
  </si>
  <si>
    <t xml:space="preserve">Ollama/LM Studio блокируются CSP — локальные провайдеры не работают из коробки</t>
  </si>
  <si>
    <t xml:space="preserve">Адаптеры ходят напрямую на http://localhost:11434/1234 (useProxy=false), но CSP connect-src (dev и prod) не содержит localhost — браузер отказывает в соединении. Провайдеры рекламируются в UI как доступные.</t>
  </si>
  <si>
    <t xml:space="preserve">Пустить через прокси либо добавить http://localhost:11434/1234 в dev-CSP и задокументировать prod-требование.</t>
  </si>
  <si>
    <t xml:space="preserve">M-17</t>
  </si>
  <si>
    <t xml:space="preserve">UI/Kernel</t>
  </si>
  <si>
    <t xml:space="preserve">src/kernel/services/conversation-director-service.ts:208; src/stores/directorController.ts:47; src/components/DirectorPanel/RunTab.tsx:131-216</t>
  </si>
  <si>
    <t xml:space="preserve">run() директора пробрасывает ошибки, UI их не ловит — unhandled rejections</t>
  </si>
  <si>
    <t xml:space="preserve">run() rethrow'ит и при сбое хода, и при аборте; handleRun и onClick={controls.resume} без try/catch — каждый упавший/остановленный оператором запуск даёт unhandled promise rejection, сообщение об ошибке до пользователя не доходит (только бейдж статуса).</t>
  </si>
  <si>
    <t xml:space="preserve">Обернуть controls.run()/controls.resume() в try/catch с показом e.message.</t>
  </si>
  <si>
    <t xml:space="preserve">M-18</t>
  </si>
  <si>
    <t xml:space="preserve">src/stores/chat/chat-send-message.ts:268-270; src/stores/chat/chat-event-handlers.ts (нет delete)</t>
  </si>
  <si>
    <t xml:space="preserve">requestEntryMap растёт неограниченно — утечка за время жизни таба</t>
  </si>
  <si>
    <t xml:space="preserve">Ссылки requestId→{sessionId, entryId} добавляются для каждого ответа каждого запроса и не удаляются на терминальных статусах (чистка только в deleteSession/forkSession) — за долгую сессию с сотнями сообщений карта живёт до перезагрузки таба.</t>
  </si>
  <si>
    <t xml:space="preserve">Удалять записи на терминальных статусах в chat-event-handlers.</t>
  </si>
  <si>
    <t xml:space="preserve">L-01</t>
  </si>
  <si>
    <t xml:space="preserve">Низкий</t>
  </si>
  <si>
    <t xml:space="preserve">src/stores/chat/hydration.ts:216-234</t>
  </si>
  <si>
    <t xml:space="preserve">Аварийный backup хранит 5 СТАРЕЙШИХ сессий вместо свежих</t>
  </si>
  <si>
    <t xml:space="preserve">sessions отсортированы по updatedAt по убыванию; slice(-5) берёт последние (старейшие) — против intent «keep recent» в fallback-пути &gt;4.5МБ.</t>
  </si>
  <si>
    <t xml:space="preserve">slice(0, 5).</t>
  </si>
  <si>
    <t xml:space="preserve">L-02</t>
  </si>
  <si>
    <t xml:space="preserve">UI/i18n</t>
  </si>
  <si>
    <t xml:space="preserve">src/components/ChatPanel/ResponseCard.tsx:172-173, 321-322; src/i18n/translations/en/chat.ts:94</t>
  </si>
  <si>
    <t xml:space="preserve">Плейсхолдер {ms} не подставляется — в UI видно «1234{ms}ms»</t>
  </si>
  <si>
    <t xml:space="preserve">t('chat.latency_ms') вызывается без params: EN-шаблон '{ms}ms' рендерится буквально после значения; RU-вариант даёт «1234Задержка, мс».</t>
  </si>
  <si>
    <t xml:space="preserve">t('chat.latency_ms', { ms: res.latency }).</t>
  </si>
  <si>
    <t xml:space="preserve">L-03</t>
  </si>
  <si>
    <t xml:space="preserve">i18n</t>
  </si>
  <si>
    <t xml:space="preserve">CodeRunner.tsx (~15), VoiceButton.tsx (9), ChatPanel.tsx (6), CopyButton.tsx (2), PersonaSelector.tsx (2); src/i18n/translations/en/chat.ts:142</t>
  </si>
  <si>
    <t xml:space="preserve">~34 захардкоженных EN-строки в чат-UI + заглушка 'Yesterday Prefix'</t>
  </si>
  <si>
    <t xml:space="preserve">'Execute Code', 'Microphone access denied', 'Agent:', '— No agent (direct) —', 'Copy'/'Copied!' и др. мимо t(); ключ chat.yesterday_prefix в EN — непереведённый плейсхолдер, который formatTime рендерит как «Yesterday Prefix12:30». RU-тексты не хардкодятся (только комментарии).</t>
  </si>
  <si>
    <t xml:space="preserve">Перевести все строки через t(); заполнить yesterday_prefix ('Yesterday at'/'Вчера в').</t>
  </si>
  <si>
    <t xml:space="preserve">L-04</t>
  </si>
  <si>
    <t xml:space="preserve">src/components/ChatPanel/CodeRunner.tsx:8, 284-303</t>
  </si>
  <si>
    <t xml:space="preserve">CodeRunner рекламирует ts/typescript, но исполняет код как JS — гарантированный SyntaxError</t>
  </si>
  <si>
    <t xml:space="preserve">ts/typescript в EXECUTABLE_LANGS, но аннотации типов не вырезаются перед сборкой (async function(){...}) — любой TS-блок валит весь инлайн-скрипт (или упирается в 10с таймаут).</t>
  </si>
  <si>
    <t xml:space="preserve">Убрать ts из allowlist или добавить транспиляцию (esbuild-wasm/sucrase) перед исполнением.</t>
  </si>
  <si>
    <t xml:space="preserve">L-05</t>
  </si>
  <si>
    <t xml:space="preserve">src/kernel/services/chat-summarizer-service.ts:251-256, 101</t>
  </si>
  <si>
    <t xml:space="preserve">manualSummarize требует порога авто-триггера — ручное суммирование короткого чата молча пусто</t>
  </si>
  <si>
    <t xml:space="preserve">Делегирует generateSummary, возвращающий null при messages.length &lt; triggerAfterMessages: пользователь явно просит сводку 10-сообщений — получает ничего, без объяснения.</t>
  </si>
  <si>
    <t xml:space="preserve">Добавить force-флаг, обходящий порог минимума сообщений.</t>
  </si>
  <si>
    <t xml:space="preserve">L-06</t>
  </si>
  <si>
    <t xml:space="preserve">src/kernel/services/chat-summarizer-service.ts:329-368</t>
  </si>
  <si>
    <t xml:space="preserve">mergeSummaries не персистит и не дожидается загрузки</t>
  </si>
  <si>
    <t xml:space="preserve">Единственный write-путь без #persist: merged-сводка только в памяти (потеря при перезагрузке); может молча перезаписать загруженную сводку при вызове до #ensureLoaded.</t>
  </si>
  <si>
    <t xml:space="preserve">await #ensureLoaded() и void #persist() после merge.</t>
  </si>
  <si>
    <t xml:space="preserve">L-07</t>
  </si>
  <si>
    <t xml:space="preserve">src/kernel/services/persona-service.ts:159-223</t>
  </si>
  <si>
    <t xml:space="preserve">Повторная инициализация персоны накапливает stale-записи</t>
  </si>
  <si>
    <t xml:space="preserve">init() не очищает this.personas: задокументированный путь setDatabase → isInitialized=false → init() мержит кастомные персоны новой БД поверх старых — «призраки» остаются доступными для выбора в чате.</t>
  </si>
  <si>
    <t xml:space="preserve">Очищать this.personas (или удалять не-builtin) в начале init().</t>
  </si>
  <si>
    <t xml:space="preserve">L-08</t>
  </si>
  <si>
    <t xml:space="preserve">src/kernel/dal/session-repository.ts:13-42, 63-67</t>
  </si>
  <si>
    <t xml:space="preserve">DAL-репозиторий кэширует живую ссылку и не инвалидируется</t>
  </si>
  <si>
    <t xml:space="preserve">save() кладёт в кэш оригинал объекта (не копию), а параллельные записи той же таблицы через DexieSessionStore (с version CAS) кэш не инвалидируют — getAll()/get() могут вечно отдавать устаревшие сессии. Сейчас репозиторий потребляется только тестами.</t>
  </si>
  <si>
    <t xml:space="preserve">Копировать при save() и инвалидировать при write-through из DexieSessionStore (или убрать кэш).</t>
  </si>
  <si>
    <t xml:space="preserve">L-09</t>
  </si>
  <si>
    <t xml:space="preserve">UI/Store</t>
  </si>
  <si>
    <t xml:space="preserve">src/kernel/services/chat-executor.ts:472-473; src/components/ChatPanel/ChatHistoryEntry.tsx:283</t>
  </si>
  <si>
    <t xml:space="preserve">id ответа меняется на терминальном событии — remount ResponseCard в момент завершения</t>
  </si>
  <si>
    <t xml:space="preserve">Терминальный MESSAGE_RESPONSE приносит новый id, merge {...r, ...res} подменяет id стрим-заглушки → React key меняется → карточка размонтируется/монтируется ровно при завершении ответа (фликер; локальные copied/feedback сбрасываются).</t>
  </si>
  <si>
    <t xml:space="preserve">Исключить id из merge (или ключовать по requestId).</t>
  </si>
  <si>
    <t xml:space="preserve">L-10</t>
  </si>
  <si>
    <t xml:space="preserve">src/kernel/services/conversation-director-service.ts:323-327; session-manager-service.ts:429; message-index-service.ts:155-187</t>
  </si>
  <si>
    <t xml:space="preserve">Мелкие дефекты согласованности: аборты в failed-счётчике, мёртвое условие, probe в индексе</t>
  </si>
  <si>
    <t xml:space="preserve">1) Абортированные ходы увеличивают failed-счётчик запуска (это отмена, не сбой). 2) Условие _pendingHistorySaves.length &gt;= 0 всегда истинно — маскирует намерение. 3) STREAM_END от key-проб индексируется как чат-сообщения (загрязняет MessageSearchPanel), а пользовательское сообщение при ошибке/отмене не индексируется вовсе.</t>
  </si>
  <si>
    <t xml:space="preserve">Флаг aborted в событии; убрать мёртвый операнд; dedicated-событие для probe или маркер source='probe'.</t>
  </si>
  <si>
    <t xml:space="preserve">Роадмап исправлений — 6 фаз, 35 задач</t>
  </si>
  <si>
    <t xml:space="preserve">Фаза</t>
  </si>
  <si>
    <t xml:space="preserve">Задача</t>
  </si>
  <si>
    <t xml:space="preserve">Файлы</t>
  </si>
  <si>
    <t xml:space="preserve">Усилие</t>
  </si>
  <si>
    <t xml:space="preserve">Приоритет</t>
  </si>
  <si>
    <t xml:space="preserve">Критерий приёмки</t>
  </si>
  <si>
    <t xml:space="preserve">Закрывает</t>
  </si>
  <si>
    <t xml:space="preserve">Фаза 0 — Hotfix (48 часов)</t>
  </si>
  <si>
    <t xml:space="preserve">R-01</t>
  </si>
  <si>
    <t xml:space="preserve">Ф0</t>
  </si>
  <si>
    <t xml:space="preserve">Оживить фантомную сессию: сеять DEFAULT_SESSION при пустом Dexie, append при отсутствии активной сессии</t>
  </si>
  <si>
    <t xml:space="preserve">hydration.ts, store-helpers.ts</t>
  </si>
  <si>
    <t xml:space="preserve">S</t>
  </si>
  <si>
    <t xml:space="preserve">P0</t>
  </si>
  <si>
    <t xml:space="preserve">На чистой установке первое сообщение отправляется, отображается и переживает перезагрузку страницы</t>
  </si>
  <si>
    <t xml:space="preserve">R-02</t>
  </si>
  <si>
    <t xml:space="preserve">Остановить flush-цикл: setState только при фактическом сокращении deletedIds + дифф-чек payload</t>
  </si>
  <si>
    <t xml:space="preserve">hydration.ts</t>
  </si>
  <si>
    <t xml:space="preserve">В простое (без действий пользователя) IndexedDB не получает записей в течение 30с</t>
  </si>
  <si>
    <t xml:space="preserve">R-03</t>
  </si>
  <si>
    <t xml:space="preserve">Добавить /v1 в прокси-таргет OpenAI (dev и prod)</t>
  </si>
  <si>
    <t xml:space="preserve">vite.config.ts, docker/entrypoint.sh, docker/nginx.conf</t>
  </si>
  <si>
    <t xml:space="preserve">Запрос с ключом OpenAI через /proxy/openai/chat/completions возвращает 200</t>
  </si>
  <si>
    <t xml:space="preserve">R-04</t>
  </si>
  <si>
    <t xml:space="preserve">Провайдерам без прокси-роутов выключить useProxy и расширить CSP (или добавить роуты по образцу groq)</t>
  </si>
  <si>
    <t xml:space="preserve">adapter-factory.ts, vite.config.ts, docker/nginx.conf</t>
  </si>
  <si>
    <t xml:space="preserve">M</t>
  </si>
  <si>
    <t xml:space="preserve">DeepSeek/Kimi/MiniMax/Qwen/Together/Fireworks отвечают 200 с валидным ключом; в smoke-чеклисте нет 404/403</t>
  </si>
  <si>
    <t xml:space="preserve">R-05</t>
  </si>
  <si>
    <t xml:space="preserve">Нормализовать единицы цен из OpenRouter (×1e6 при инжестe) + юнит-тест</t>
  </si>
  <si>
    <t xml:space="preserve">pricing-service.ts</t>
  </si>
  <si>
    <t xml:space="preserve">После syncFromOpenRouter стоимость gpt-4o-mini на 1M токенов совпадает с прайсом OpenRouter ±5%</t>
  </si>
  <si>
    <t xml:space="preserve">Фаза 1 — Стриминг и отмена (1-2 недели)</t>
  </si>
  <si>
    <t xml:space="preserve">R-06</t>
  </si>
  <si>
    <t xml:space="preserve">Ф1</t>
  </si>
  <si>
    <t xml:space="preserve">Очищать таймаут-таймер после получения заголовков в streamPost</t>
  </si>
  <si>
    <t xml:space="preserve">llm-http-client.ts</t>
  </si>
  <si>
    <t xml:space="preserve">P1</t>
  </si>
  <si>
    <t xml:space="preserve">Интеграционный тест: стрим живёт 150с без TimeoutError</t>
  </si>
  <si>
    <t xml:space="preserve">R-07</t>
  </si>
  <si>
    <t xml:space="preserve">Корректная классификация отмены: APIUserAbortError + проверка signal.aborted в executor</t>
  </si>
  <si>
    <t xml:space="preserve">groq-adapter.ts, chat-executor.ts</t>
  </si>
  <si>
    <t xml:space="preserve">Cancel на Groq даёт статус cancelled, ключ не штрафуется, фолбэк-запрос не отправляется</t>
  </si>
  <si>
    <t xml:space="preserve">R-08</t>
  </si>
  <si>
    <t xml:space="preserve">Wire-формат tool_calls/tool_call_id в base-adapter (обе ветки)</t>
  </si>
  <si>
    <t xml:space="preserve">base-adapter.ts, groq-adapter.ts (эталон)</t>
  </si>
  <si>
    <t xml:space="preserve">Многоходовой tool-цикл проходит на OpenRouter и NVIDIA без 400</t>
  </si>
  <si>
    <t xml:space="preserve">R-09</t>
  </si>
  <si>
    <t xml:space="preserve">Стримы: stream_options.include_usage, аккумуляция delta.tool_calls, finish_reason у Groq и Cloudflare</t>
  </si>
  <si>
    <t xml:space="preserve">openai-compatible-adapter.ts, nvidia-nim-adapter.ts, groq-adapter.ts, cloudflare-adapter.ts</t>
  </si>
  <si>
    <t xml:space="preserve">STREAM_END несёт реальные usage-токены для OpenAI/NVIDIA/Groq; finish_reason:'length' показывается пользователю</t>
  </si>
  <si>
    <t xml:space="preserve">M-12, M-13, H-07, M-14</t>
  </si>
  <si>
    <t xml:space="preserve">R-10</t>
  </si>
  <si>
    <t xml:space="preserve">Коалесцировать STREAM_CHUNK через requestAnimationFrame (16-25мс) перед set()</t>
  </si>
  <si>
    <t xml:space="preserve">chat-event-handlers.ts</t>
  </si>
  <si>
    <t xml:space="preserve">React DevTools Profiler: ≤60 ре-рендеров ChatPanel в секунду при непрерывном стриме</t>
  </si>
  <si>
    <t xml:space="preserve">R-11</t>
  </si>
  <si>
    <t xml:space="preserve">Очередь отправки: ре-очередь вместо выброса, dequeue после опустошения activeRequestIds</t>
  </si>
  <si>
    <t xml:space="preserve">chat-send-message.ts</t>
  </si>
  <si>
    <t xml:space="preserve">Регресс-тест: 2 быстрые отправки — обе доставлены, ни одна не потеряна; обновить store.test.ts:337</t>
  </si>
  <si>
    <t xml:space="preserve">R-12</t>
  </si>
  <si>
    <t xml:space="preserve">429-фолбэк: задержка по Retry-After перед re-dispatch</t>
  </si>
  <si>
    <t xml:space="preserve">chat-executor.ts</t>
  </si>
  <si>
    <t xml:space="preserve">Мок 429 c Retry-After: между попытками выдержана пауза</t>
  </si>
  <si>
    <t xml:space="preserve">Фаза 2 — Данные и согласованность (1-2 недели)</t>
  </si>
  <si>
    <t xml:space="preserve">R-13</t>
  </si>
  <si>
    <t xml:space="preserve">Ф2</t>
  </si>
  <si>
    <t xml:space="preserve">Движок диалогов: резолв только на терминальных статусах + early-exit при уже-aborted</t>
  </si>
  <si>
    <t xml:space="preserve">conversation-execution-engine.ts</t>
  </si>
  <si>
    <t xml:space="preserve">Кэш-поп возвращает полный cached.response; abort во время policy-await не отправляет LLM-запрос</t>
  </si>
  <si>
    <t xml:space="preserve">H-01, H-02</t>
  </si>
  <si>
    <t xml:space="preserve">R-14</t>
  </si>
  <si>
    <t xml:space="preserve">Прокинуть sessionId в SEND_MESSAGE; штамповать записи индекса из буфера запроса</t>
  </si>
  <si>
    <t xml:space="preserve">chat-send-message.ts, message-index-service.ts</t>
  </si>
  <si>
    <t xml:space="preserve">Поиск по сессии в MessageSearchPanel возвращает только сообщения выбранной сессии</t>
  </si>
  <si>
    <t xml:space="preserve">H-03, M-01</t>
  </si>
  <si>
    <t xml:space="preserve">R-15</t>
  </si>
  <si>
    <t xml:space="preserve">Захватывать sessionId до первого await в clearHistory/switchModel/switchKey/setAgent/editEntry</t>
  </si>
  <si>
    <t xml:space="preserve">store.ts</t>
  </si>
  <si>
    <t xml:space="preserve">Регресс-тест: переключение сессии во время clearHistory не трогает новую сессию</t>
  </si>
  <si>
    <t xml:space="preserve">R-16</t>
  </si>
  <si>
    <t xml:space="preserve">Закладки: throw после исчерпания CAS + in-flight дедуп до await</t>
  </si>
  <si>
    <t xml:space="preserve">chat-bookmarks-service.ts</t>
  </si>
  <si>
    <t xml:space="preserve">Сбой CAS приводит к уведомлению, а не к фантомной закладке; двойной клик создаёт одну закладку</t>
  </si>
  <si>
    <t xml:space="preserve">R-17</t>
  </si>
  <si>
    <t xml:space="preserve">Аффинити: персистить reap; обрабатывать SESSION_DELETED (или age-TTL)</t>
  </si>
  <si>
    <t xml:space="preserve">session-affinity-store.ts</t>
  </si>
  <si>
    <t xml:space="preserve">P2</t>
  </si>
  <si>
    <t xml:space="preserve">После перезагрузки истёкшие/удалённые биндинги не воскрешаются; размер JSON ограничен</t>
  </si>
  <si>
    <t xml:space="preserve">R-18</t>
  </si>
  <si>
    <t xml:space="preserve">Пагинация: отдельный счётчик загруженных из БД строк вместо sessions.length</t>
  </si>
  <si>
    <t xml:space="preserve">Load More догружает непрерывный список без пропусков при наличии in-memory default</t>
  </si>
  <si>
    <t xml:space="preserve">R-19</t>
  </si>
  <si>
    <t xml:space="preserve">Единый .slice(-MAX_HISTORY) для write-through и памяти</t>
  </si>
  <si>
    <t xml:space="preserve">После 210 сообщений Dexie и память содержат одинаковые 200 записей</t>
  </si>
  <si>
    <t xml:space="preserve">R-20</t>
  </si>
  <si>
    <t xml:space="preserve">Чистить requestEntryMap на терминальных статусах; исключить id из merge ответа</t>
  </si>
  <si>
    <t xml:space="preserve">chat-event-handlers.ts, chat-executor.ts</t>
  </si>
  <si>
    <t xml:space="preserve">Размер requestEntryMap стабилен; ResponseCard не ремантируется при завершении ответа</t>
  </si>
  <si>
    <t xml:space="preserve">M-18, L-09</t>
  </si>
  <si>
    <t xml:space="preserve">Фаза 3 — UI/UX (1 неделя)</t>
  </si>
  <si>
    <t xml:space="preserve">R-21</t>
  </si>
  <si>
    <t xml:space="preserve">Ф3</t>
  </si>
  <si>
    <t xml:space="preserve">Виртуализатор: measureElement + динамические высоты + якорный автоскролл</t>
  </si>
  <si>
    <t xml:space="preserve">ChatMessagesSection.tsx</t>
  </si>
  <si>
    <t xml:space="preserve">Длинные ответы не накладываются; автоскролл стрима не отваливается без действий пользователя</t>
  </si>
  <si>
    <t xml:space="preserve">R-22</t>
  </si>
  <si>
    <t xml:space="preserve">Ввод: await onSend + восстановление текста при ошибке отправки</t>
  </si>
  <si>
    <t xml:space="preserve">ChatInputArea.tsx, ChatPanel.tsx</t>
  </si>
  <si>
    <t xml:space="preserve">При принудительном сбое Dexie текст возвращается в поле, unhandled rejection исчезает</t>
  </si>
  <si>
    <t xml:space="preserve">R-23</t>
  </si>
  <si>
    <t xml:space="preserve">Guard: createSession бросает ошибку / handleNewChat проверяет пустой id</t>
  </si>
  <si>
    <t xml:space="preserve">store.ts, ChatPanel.tsx</t>
  </si>
  <si>
    <t xml:space="preserve">Сбой создания сессии оставляет активную сессию прежней и показывает уведомление</t>
  </si>
  <si>
    <t xml:space="preserve">R-24</t>
  </si>
  <si>
    <t xml:space="preserve">Подставить {ms}: t('chat.latency_ms', { ms: res.latency })</t>
  </si>
  <si>
    <t xml:space="preserve">ResponseCard.tsx</t>
  </si>
  <si>
    <t xml:space="preserve">P3</t>
  </si>
  <si>
    <t xml:space="preserve">В EN отображается «1234ms», в RU — осмысленная строка без сырого плейсхолдера</t>
  </si>
  <si>
    <t xml:space="preserve">R-25</t>
  </si>
  <si>
    <t xml:space="preserve">Локализовать ~34 захардкоженные строки; заполнить yesterday_prefix</t>
  </si>
  <si>
    <t xml:space="preserve">CodeRunner.tsx, VoiceButton.tsx, ChatPanel.tsx, CopyButton.tsx, PersonaSelector.tsx, translations/en+ru</t>
  </si>
  <si>
    <t xml:space="preserve">grep-гейт: в перечисленных файлах 0 строковых литералов в JSX вне t(); переключение на RU переводит весь чат</t>
  </si>
  <si>
    <t xml:space="preserve">R-26</t>
  </si>
  <si>
    <t xml:space="preserve">CodeRunner: убрать ts/typescript из allowlist либо добавить транспиляцию</t>
  </si>
  <si>
    <t xml:space="preserve">CodeRunner.tsx</t>
  </si>
  <si>
    <t xml:space="preserve">TS-блок либо исполняется корректно, либо кнопка Run для него не показывается</t>
  </si>
  <si>
    <t xml:space="preserve">Фаза 4 — Тесты и типы (1 неделя)</t>
  </si>
  <si>
    <t xml:space="preserve">R-27</t>
  </si>
  <si>
    <t xml:space="preserve">Ф4</t>
  </si>
  <si>
    <t xml:space="preserve">Починить vi.mock kernel/instances (добавить rootLogger) — оживить 10 тестов ChatPanel</t>
  </si>
  <si>
    <t xml:space="preserve">ChatPanel.test.tsx</t>
  </si>
  <si>
    <t xml:space="preserve">npx vitest run src/components/ChatPanel — 10/10 зелёные</t>
  </si>
  <si>
    <t xml:space="preserve">R-28</t>
  </si>
  <si>
    <t xml:space="preserve">Регресс-тесты на критические находки: фантомная сессия, flush-цикл, кэш-поп движка, единицы цен, proxy-роуты</t>
  </si>
  <si>
    <t xml:space="preserve">stores/chat, kernel/services, llm (новые сьюты)</t>
  </si>
  <si>
    <t xml:space="preserve">Каждая из C-01..C-04 и H-01/H-08 покрыта падающим-без-фикса тестом</t>
  </si>
  <si>
    <t xml:space="preserve">C-01..C-04, H-01, H-08</t>
  </si>
  <si>
    <t xml:space="preserve">R-29</t>
  </si>
  <si>
    <t xml:space="preserve">Типы стора: async-методы → Promise&lt;void&gt;; довести чат-зону до 0 ошибок tsc</t>
  </si>
  <si>
    <t xml:space="preserve">stores/chat/types.ts, ChatPanel.tsx, ChatDock.tsx</t>
  </si>
  <si>
    <t xml:space="preserve">tsc --noEmit (tsconfig.app) не даёт ошибок в src/stores/chat, src/components/ChatPanel*, src/llm</t>
  </si>
  <si>
    <t xml:space="preserve">R-30</t>
  </si>
  <si>
    <t xml:space="preserve">e2e happy-path чата: чистый запуск → отправка → стрим → перезагрузка → данные на месте</t>
  </si>
  <si>
    <t xml:space="preserve">e2e/ (playwright)</t>
  </si>
  <si>
    <t xml:space="preserve">L</t>
  </si>
  <si>
    <t xml:space="preserve">Playwright-тест зелёный в CI; фиксирует C-03 и связку hydration+persist</t>
  </si>
  <si>
    <t xml:space="preserve">Фаза 5 — Надёжность сервисов (по мере сил)</t>
  </si>
  <si>
    <t xml:space="preserve">R-31</t>
  </si>
  <si>
    <t xml:space="preserve">Ф5</t>
  </si>
  <si>
    <t xml:space="preserve">Суммаризатор: force-флаг для manualSummarize; persist+ensureLoaded в mergeSummaries</t>
  </si>
  <si>
    <t xml:space="preserve">chat-summarizer-service.ts</t>
  </si>
  <si>
    <t xml:space="preserve">Ручная сводка на 10 сообщениях работает; merged-сводка переживает перезагрузку</t>
  </si>
  <si>
    <t xml:space="preserve">L-05, L-06</t>
  </si>
  <si>
    <t xml:space="preserve">R-32</t>
  </si>
  <si>
    <t xml:space="preserve">persona-service: очистка non-builtin персон при повторном init</t>
  </si>
  <si>
    <t xml:space="preserve">persona-service.ts</t>
  </si>
  <si>
    <t xml:space="preserve">setDatabase на другую БД не оставляет персон из старой</t>
  </si>
  <si>
    <t xml:space="preserve">R-33</t>
  </si>
  <si>
    <t xml:space="preserve">Сохранять tags/folder/isArchived при персистенции дебат-истории</t>
  </si>
  <si>
    <t xml:space="preserve">debate-session-persistence.ts, session-manager-service.ts</t>
  </si>
  <si>
    <t xml:space="preserve">Архив/теги/папка переживают любую перезапись истории</t>
  </si>
  <si>
    <t xml:space="preserve">R-34</t>
  </si>
  <si>
    <t xml:space="preserve">Director: try/catch в RunTab, abort не считать failed; убрать мёртвое условие &gt;=0</t>
  </si>
  <si>
    <t xml:space="preserve">RunTab.tsx, directorController.ts, conversation-director-service.ts, session-manager-service.ts</t>
  </si>
  <si>
    <t xml:space="preserve">Остановка запуска оператором не растит failed; ошибочные запуски показывают сообщение</t>
  </si>
  <si>
    <t xml:space="preserve">M-17, L-10</t>
  </si>
  <si>
    <t xml:space="preserve">R-35</t>
  </si>
  <si>
    <t xml:space="preserve">Гигиена: CSP для localhost (Ollama/LM Studio), удалить битый импорт PersonaSelector, проводка CHAT_REWOUND</t>
  </si>
  <si>
    <t xml:space="preserve">vite.config.ts, nginx.conf, ChatPanel/PersonaSelector.tsx, message-index-service.ts</t>
  </si>
  <si>
    <t xml:space="preserve">Локальные провайдеры подключаются; grep не находит ссылок на удалённый модуль; rewind чистит индекс корректно</t>
  </si>
  <si>
    <t xml:space="preserve">M-16, M-01</t>
  </si>
  <si>
    <t xml:space="preserve">Усилие: S ≈ 0,5–1 день · M ≈ 2–4 дня · L ≈ 1 неделя. Оценки для одного разработчика, знакомого с кодовой базой.</t>
  </si>
  <si>
    <t xml:space="preserve">Факты инструментальной проверки</t>
  </si>
  <si>
    <t xml:space="preserve">Проверка / сьют</t>
  </si>
  <si>
    <t xml:space="preserve">Результат и детали</t>
  </si>
  <si>
    <t xml:space="preserve">typecheck (tsc -b --noEmit)</t>
  </si>
  <si>
    <t xml:space="preserve">2391 ошибок по проекту; в чат-зоне (ChatPanel/ChatDock/PersonaSelector/stores/chat/llm) — 122. Сборка имеет режим build:skip-typecheck с предупреждением.</t>
  </si>
  <si>
    <t xml:space="preserve">vitest (чатовые сьюты, 10 файлов)</t>
  </si>
  <si>
    <t xml:space="preserve">158 теста: 127 passed / 24 failed / 1 skipped / 2 ошибки воркера.</t>
  </si>
  <si>
    <t xml:space="preserve">store.test.ts</t>
  </si>
  <si>
    <t xml:space="preserve">36/36 зелёные — ядро стора покрыто хорошо (но тест 337 фиксирует потерю сообщения из очереди как ожидаемое поведение).</t>
  </si>
  <si>
    <t xml:space="preserve">10/10 ПАДАЮТ: устаревший vi.mock ../../kernel/instances без экспорта rootLogger.</t>
  </si>
  <si>
    <t xml:space="preserve">chat-executor.test.ts / ChatService.test.ts</t>
  </si>
  <si>
    <t xml:space="preserve">4 падения: auto-routing (no providers), cache-hit, STREAM_START/END, destroy().</t>
  </si>
  <si>
    <t xml:space="preserve">conversation-execution-engine.test.ts</t>
  </si>
  <si>
    <t xml:space="preserve">5/5 зелёные, но мокирует executor — поэтому H-01/H-02 не ловятся.</t>
  </si>
  <si>
    <t xml:space="preserve">Покрытие XSS-поверхности</t>
  </si>
  <si>
    <t xml:space="preserve">Уязвимостей не найдено: DOMPurify на всех путях, allowlist протоколов, sandbox-iframe без same-origin.</t>
  </si>
  <si>
    <t xml:space="preserve">Состав фаз роадмапа</t>
  </si>
  <si>
    <t xml:space="preserve">Задач</t>
  </si>
  <si>
    <t xml:space="preserve">Фокус</t>
  </si>
  <si>
    <t xml:space="preserve">Блокеры первого запуска: фантомная сессия, flush-цикл, прокси OpenAI и 10 провайдеров, единицы цен</t>
  </si>
  <si>
    <t xml:space="preserve">Надёжность LLM-конвейера: таймауты, отмена, tool_calls, usage, батчинг чанков, очередь, 429-бэкофф</t>
  </si>
  <si>
    <t xml:space="preserve">Движок диалогов, индекс сообщений, гонки сессий, закладки, аффинити, пагинация, утечки</t>
  </si>
  <si>
    <t xml:space="preserve">Виртуализатор, восстановление ввода, i18n чата, CodeRunner</t>
  </si>
  <si>
    <t xml:space="preserve">Оживление тестов ChatPanel, регресс-тесты критических находок, типы, e2e</t>
  </si>
  <si>
    <t xml:space="preserve">Суммаризатор, персоны, дебат-история, директор, гигиена конфигов</t>
  </si>
  <si>
    <t xml:space="preserve">Всего задач</t>
  </si>
  <si>
    <t xml:space="preserve">Перекрёстные проверки (живые формулы)</t>
  </si>
  <si>
    <t xml:space="preserve">Проверка</t>
  </si>
  <si>
    <t xml:space="preserve">Ожидание</t>
  </si>
  <si>
    <t xml:space="preserve">Факт</t>
  </si>
  <si>
    <t xml:space="preserve">Статус</t>
  </si>
  <si>
    <t xml:space="preserve">Всего находок (Сводка = Находки)</t>
  </si>
  <si>
    <t xml:space="preserve">Задач роадмапа</t>
  </si>
  <si>
    <t xml:space="preserve">Слоёв оценено</t>
  </si>
  <si>
    <t xml:space="preserve">Сумма задач по фазам (Тесты и метрики)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</si>
</sst>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D4820A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2"/>
      <color rgb="FF000000"/>
      <name val="Noto Sans CJK SC"/>
      <family val="2"/>
    </font>
    <font>
      <sz val="10"/>
      <color rgb="FF000000"/>
      <name val="Calibri"/>
      <family val="2"/>
    </font>
    <font>
      <sz val="11"/>
      <color rgb="FF8C8A84"/>
      <name val="Noto Sans CJK S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7F7F5"/>
      </patternFill>
    </fill>
    <fill>
      <patternFill patternType="solid">
        <fgColor rgb="FFF7F7F5"/>
        <bgColor rgb="FFFEF9E7"/>
      </patternFill>
    </fill>
    <fill>
      <patternFill patternType="solid">
        <fgColor rgb="FF1B2A4A"/>
        <bgColor rgb="FF37352F"/>
      </patternFill>
    </fill>
    <fill>
      <patternFill patternType="solid">
        <fgColor rgb="FFD6E4F0"/>
        <bgColor rgb="FFE9E9E8"/>
      </patternFill>
    </fill>
    <fill>
      <patternFill patternType="solid">
        <fgColor rgb="FFFDEDEC"/>
        <bgColor rgb="FFF7F7F5"/>
      </patternFill>
    </fill>
    <fill>
      <patternFill patternType="solid">
        <fgColor rgb="FFFEF9E7"/>
        <bgColor rgb="FFF7F7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D4820A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D6E4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78787"/>
      <rgbColor rgb="FF9999FF"/>
      <rgbColor rgb="FF993366"/>
      <rgbColor rgb="FFFEF9E7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F7F7F5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D4820A"/>
      <rgbColor rgb="FFFF6600"/>
      <rgbColor rgb="FF666699"/>
      <rgbColor rgb="FF8C8A84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200" strike="noStrike" u="none">
                <a:solidFill>
                  <a:srgbClr val="000000"/>
                </a:solidFill>
                <a:uFillTx/>
                <a:latin typeface="Noto Sans CJK SC"/>
                <a:ea typeface="Noto Sans CJK SC"/>
              </a:rPr>
              <a:t>Оценки слоёв чата (0–10)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Сводка!C19</c:f>
              <c:strCache>
                <c:ptCount val="1"/>
                <c:pt idx="0">
                  <c:v>Оценка</c:v>
                </c:pt>
              </c:strCache>
            </c:strRef>
          </c:tx>
          <c:spPr>
            <a:solidFill>
              <a:srgbClr val="1b2a4a"/>
            </a:solidFill>
            <a:ln w="9360">
              <a:solidFill>
                <a:srgbClr val="1b2a4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1b2a4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Сводка!$B$20:$B$28</c:f>
              <c:strCache>
                <c:ptCount val="9"/>
                <c:pt idx="0">
                  <c:v>UI-компоненты (ChatPanel)</c:v>
                </c:pt>
                <c:pt idx="1">
                  <c:v>Store (Zustand, stores/chat)</c:v>
                </c:pt>
                <c:pt idx="2">
                  <c:v>Персистентность (Dexie/hydration)</c:v>
                </c:pt>
                <c:pt idx="3">
                  <c:v>Kernel-сервисы диалогов</c:v>
                </c:pt>
                <c:pt idx="4">
                  <c:v>LLM-слой (адаптеры/HTTP)</c:v>
                </c:pt>
                <c:pt idx="5">
                  <c:v>Конфигурация (прокси/CSP)</c:v>
                </c:pt>
                <c:pt idx="6">
                  <c:v>Безопасность (XSS/инъекции)</c:v>
                </c:pt>
                <c:pt idx="7">
                  <c:v>Тесты и типы</c:v>
                </c:pt>
                <c:pt idx="8">
                  <c:v>i18n чата</c:v>
                </c:pt>
              </c:strCache>
            </c:strRef>
          </c:cat>
          <c:val>
            <c:numRef>
              <c:f>Сводка!$C$20:$C$28</c:f>
              <c:numCache>
                <c:formatCode>General</c:formatCode>
                <c:ptCount val="9"/>
                <c:pt idx="0">
                  <c:v>6.5</c:v>
                </c:pt>
                <c:pt idx="1">
                  <c:v>6</c:v>
                </c:pt>
                <c:pt idx="2">
                  <c:v>5</c:v>
                </c:pt>
                <c:pt idx="3">
                  <c:v>5.5</c:v>
                </c:pt>
                <c:pt idx="4">
                  <c:v>5</c:v>
                </c:pt>
                <c:pt idx="5">
                  <c:v>4.5</c:v>
                </c:pt>
                <c:pt idx="6">
                  <c:v>9</c:v>
                </c:pt>
                <c:pt idx="7">
                  <c:v>4</c:v>
                </c:pt>
                <c:pt idx="8">
                  <c:v>6.5</c:v>
                </c:pt>
              </c:numCache>
            </c:numRef>
          </c:val>
        </c:ser>
        <c:gapWidth val="60"/>
        <c:overlap val="100"/>
        <c:axId val="87389972"/>
        <c:axId val="97749780"/>
      </c:barChart>
      <c:catAx>
        <c:axId val="873899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749780"/>
        <c:crosses val="autoZero"/>
        <c:auto val="1"/>
        <c:lblAlgn val="ctr"/>
        <c:lblOffset val="100"/>
        <c:noMultiLvlLbl val="0"/>
      </c:catAx>
      <c:valAx>
        <c:axId val="97749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3899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4</xdr:col>
      <xdr:colOff>691920</xdr:colOff>
      <xdr:row>47</xdr:row>
      <xdr:rowOff>720</xdr:rowOff>
    </xdr:to>
    <xdr:graphicFrame>
      <xdr:nvGraphicFramePr>
        <xdr:cNvPr id="0" name="Chart 1"/>
        <xdr:cNvGraphicFramePr/>
      </xdr:nvGraphicFramePr>
      <xdr:xfrm>
        <a:off x="211320" y="9172440"/>
        <a:ext cx="61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B2:F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3"/>
    <col collapsed="false" customWidth="true" hidden="false" outlineLevel="0" max="5" min="4" style="1" width="34"/>
    <col collapsed="false" customWidth="true" hidden="false" outlineLevel="0" max="6" min="6" style="1" width="3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7.5" hidden="false" customHeight="true" outlineLevel="0" collapsed="false"/>
    <row r="4" customFormat="false" ht="24" hidden="false" customHeight="true" outlineLevel="0" collapsed="false">
      <c r="B4" s="3" t="s">
        <v>1</v>
      </c>
    </row>
    <row r="5" customFormat="false" ht="21.75" hidden="false" customHeight="true" outlineLevel="0" collapsed="false">
      <c r="B5" s="4" t="s">
        <v>2</v>
      </c>
      <c r="C5" s="5" t="s">
        <v>3</v>
      </c>
      <c r="D5" s="5"/>
      <c r="E5" s="5"/>
      <c r="F5" s="5"/>
    </row>
    <row r="6" customFormat="false" ht="21.75" hidden="false" customHeight="true" outlineLevel="0" collapsed="false">
      <c r="B6" s="6" t="s">
        <v>4</v>
      </c>
      <c r="C6" s="7" t="s">
        <v>5</v>
      </c>
      <c r="D6" s="7"/>
      <c r="E6" s="7"/>
      <c r="F6" s="7"/>
    </row>
    <row r="7" customFormat="false" ht="21.75" hidden="false" customHeight="true" outlineLevel="0" collapsed="false">
      <c r="B7" s="4" t="s">
        <v>6</v>
      </c>
      <c r="C7" s="5" t="s">
        <v>7</v>
      </c>
      <c r="D7" s="5"/>
      <c r="E7" s="5"/>
      <c r="F7" s="5"/>
    </row>
    <row r="8" customFormat="false" ht="21.75" hidden="false" customHeight="true" outlineLevel="0" collapsed="false">
      <c r="B8" s="6" t="s">
        <v>8</v>
      </c>
      <c r="C8" s="7" t="s">
        <v>9</v>
      </c>
      <c r="D8" s="7"/>
      <c r="E8" s="7"/>
      <c r="F8" s="7"/>
    </row>
    <row r="9" customFormat="false" ht="30" hidden="false" customHeight="true" outlineLevel="0" collapsed="false">
      <c r="B9" s="4" t="s">
        <v>10</v>
      </c>
      <c r="C9" s="5" t="s">
        <v>11</v>
      </c>
      <c r="D9" s="5"/>
      <c r="E9" s="5"/>
      <c r="F9" s="5"/>
    </row>
    <row r="10" customFormat="false" ht="30" hidden="false" customHeight="true" outlineLevel="0" collapsed="false">
      <c r="B10" s="6" t="s">
        <v>12</v>
      </c>
      <c r="C10" s="7" t="s">
        <v>13</v>
      </c>
      <c r="D10" s="7"/>
      <c r="E10" s="7"/>
      <c r="F10" s="7"/>
    </row>
    <row r="11" customFormat="false" ht="21.75" hidden="false" customHeight="true" outlineLevel="0" collapsed="false">
      <c r="B11" s="4" t="s">
        <v>14</v>
      </c>
      <c r="C11" s="5" t="s">
        <v>15</v>
      </c>
      <c r="D11" s="5"/>
      <c r="E11" s="5"/>
      <c r="F11" s="5"/>
    </row>
    <row r="12" customFormat="false" ht="21.75" hidden="false" customHeight="true" outlineLevel="0" collapsed="false">
      <c r="B12" s="6" t="s">
        <v>16</v>
      </c>
      <c r="C12" s="7" t="s">
        <v>17</v>
      </c>
      <c r="D12" s="7"/>
      <c r="E12" s="7"/>
      <c r="F12" s="7"/>
    </row>
    <row r="14" customFormat="false" ht="24" hidden="false" customHeight="true" outlineLevel="0" collapsed="false">
      <c r="B14" s="3" t="s">
        <v>18</v>
      </c>
    </row>
    <row r="15" customFormat="false" ht="27.75" hidden="false" customHeight="true" outlineLevel="0" collapsed="false">
      <c r="B15" s="8" t="s">
        <v>19</v>
      </c>
      <c r="C15" s="8" t="s">
        <v>20</v>
      </c>
      <c r="D15" s="8" t="s">
        <v>21</v>
      </c>
      <c r="E15" s="8" t="s">
        <v>22</v>
      </c>
      <c r="F15" s="8" t="s">
        <v>23</v>
      </c>
    </row>
    <row r="16" customFormat="false" ht="30" hidden="false" customHeight="true" outlineLevel="0" collapsed="false">
      <c r="B16" s="9" t="n">
        <v>45</v>
      </c>
      <c r="C16" s="9" t="n">
        <v>4</v>
      </c>
      <c r="D16" s="9" t="n">
        <v>13</v>
      </c>
      <c r="E16" s="9" t="n">
        <v>18</v>
      </c>
      <c r="F16" s="9" t="n">
        <v>10</v>
      </c>
    </row>
    <row r="18" customFormat="false" ht="24" hidden="false" customHeight="true" outlineLevel="0" collapsed="false">
      <c r="B18" s="3" t="s">
        <v>24</v>
      </c>
    </row>
    <row r="19" customFormat="false" ht="27.75" hidden="false" customHeight="true" outlineLevel="0" collapsed="false">
      <c r="B19" s="8" t="s">
        <v>25</v>
      </c>
      <c r="C19" s="8" t="s">
        <v>26</v>
      </c>
      <c r="D19" s="8" t="s">
        <v>27</v>
      </c>
      <c r="E19" s="8"/>
      <c r="F19" s="8"/>
    </row>
    <row r="20" customFormat="false" ht="27.75" hidden="false" customHeight="true" outlineLevel="0" collapsed="false">
      <c r="B20" s="10" t="s">
        <v>28</v>
      </c>
      <c r="C20" s="11" t="n">
        <v>6.5</v>
      </c>
      <c r="D20" s="12" t="s">
        <v>29</v>
      </c>
      <c r="E20" s="12"/>
      <c r="F20" s="12"/>
    </row>
    <row r="21" customFormat="false" ht="27.75" hidden="false" customHeight="true" outlineLevel="0" collapsed="false">
      <c r="B21" s="13" t="s">
        <v>30</v>
      </c>
      <c r="C21" s="14" t="n">
        <v>6</v>
      </c>
      <c r="D21" s="15" t="s">
        <v>31</v>
      </c>
      <c r="E21" s="15"/>
      <c r="F21" s="15"/>
    </row>
    <row r="22" customFormat="false" ht="27.75" hidden="false" customHeight="true" outlineLevel="0" collapsed="false">
      <c r="B22" s="10" t="s">
        <v>32</v>
      </c>
      <c r="C22" s="16" t="n">
        <v>5</v>
      </c>
      <c r="D22" s="12" t="s">
        <v>33</v>
      </c>
      <c r="E22" s="12"/>
      <c r="F22" s="12"/>
    </row>
    <row r="23" customFormat="false" ht="27.75" hidden="false" customHeight="true" outlineLevel="0" collapsed="false">
      <c r="B23" s="13" t="s">
        <v>34</v>
      </c>
      <c r="C23" s="17" t="n">
        <v>5.5</v>
      </c>
      <c r="D23" s="15" t="s">
        <v>35</v>
      </c>
      <c r="E23" s="15"/>
      <c r="F23" s="15"/>
    </row>
    <row r="24" customFormat="false" ht="27.75" hidden="false" customHeight="true" outlineLevel="0" collapsed="false">
      <c r="B24" s="10" t="s">
        <v>36</v>
      </c>
      <c r="C24" s="16" t="n">
        <v>5</v>
      </c>
      <c r="D24" s="12" t="s">
        <v>37</v>
      </c>
      <c r="E24" s="12"/>
      <c r="F24" s="12"/>
    </row>
    <row r="25" customFormat="false" ht="27.75" hidden="false" customHeight="true" outlineLevel="0" collapsed="false">
      <c r="B25" s="13" t="s">
        <v>38</v>
      </c>
      <c r="C25" s="17" t="n">
        <v>4.5</v>
      </c>
      <c r="D25" s="15" t="s">
        <v>39</v>
      </c>
      <c r="E25" s="15"/>
      <c r="F25" s="15"/>
    </row>
    <row r="26" customFormat="false" ht="27.75" hidden="false" customHeight="true" outlineLevel="0" collapsed="false">
      <c r="B26" s="10" t="s">
        <v>40</v>
      </c>
      <c r="C26" s="18" t="n">
        <v>9</v>
      </c>
      <c r="D26" s="12" t="s">
        <v>41</v>
      </c>
      <c r="E26" s="12"/>
      <c r="F26" s="12"/>
    </row>
    <row r="27" customFormat="false" ht="27.75" hidden="false" customHeight="true" outlineLevel="0" collapsed="false">
      <c r="B27" s="13" t="s">
        <v>42</v>
      </c>
      <c r="C27" s="17" t="n">
        <v>4</v>
      </c>
      <c r="D27" s="15" t="s">
        <v>43</v>
      </c>
      <c r="E27" s="15"/>
      <c r="F27" s="15"/>
    </row>
    <row r="28" customFormat="false" ht="27.75" hidden="false" customHeight="true" outlineLevel="0" collapsed="false">
      <c r="B28" s="10" t="s">
        <v>44</v>
      </c>
      <c r="C28" s="11" t="n">
        <v>6.5</v>
      </c>
      <c r="D28" s="12" t="s">
        <v>45</v>
      </c>
      <c r="E28" s="12"/>
      <c r="F28" s="12"/>
    </row>
    <row r="29" customFormat="false" ht="25.5" hidden="false" customHeight="true" outlineLevel="0" collapsed="false">
      <c r="B29" s="19" t="s">
        <v>46</v>
      </c>
      <c r="C29" s="20" t="n">
        <v>5.78</v>
      </c>
      <c r="D29" s="19" t="s">
        <v>47</v>
      </c>
      <c r="E29" s="19"/>
      <c r="F29" s="19"/>
    </row>
    <row r="50" customFormat="false" ht="24" hidden="false" customHeight="true" outlineLevel="0" collapsed="false">
      <c r="B50" s="3" t="s">
        <v>48</v>
      </c>
    </row>
    <row r="51" customFormat="false" ht="27.75" hidden="false" customHeight="true" outlineLevel="0" collapsed="false">
      <c r="B51" s="8" t="s">
        <v>49</v>
      </c>
      <c r="C51" s="8" t="s">
        <v>50</v>
      </c>
      <c r="D51" s="8" t="s">
        <v>51</v>
      </c>
      <c r="E51" s="8"/>
      <c r="F51" s="8" t="s">
        <v>52</v>
      </c>
    </row>
    <row r="52" customFormat="false" ht="27.75" hidden="false" customHeight="true" outlineLevel="0" collapsed="false">
      <c r="B52" s="10" t="s">
        <v>53</v>
      </c>
      <c r="C52" s="21" t="s">
        <v>54</v>
      </c>
      <c r="D52" s="12" t="s">
        <v>55</v>
      </c>
      <c r="E52" s="12"/>
      <c r="F52" s="10" t="s">
        <v>56</v>
      </c>
    </row>
    <row r="53" customFormat="false" ht="42" hidden="false" customHeight="true" outlineLevel="0" collapsed="false">
      <c r="B53" s="13" t="s">
        <v>57</v>
      </c>
      <c r="C53" s="22" t="s">
        <v>58</v>
      </c>
      <c r="D53" s="15" t="s">
        <v>59</v>
      </c>
      <c r="E53" s="15"/>
      <c r="F53" s="13" t="s">
        <v>60</v>
      </c>
    </row>
    <row r="54" customFormat="false" ht="27.75" hidden="false" customHeight="true" outlineLevel="0" collapsed="false">
      <c r="B54" s="10" t="s">
        <v>61</v>
      </c>
      <c r="C54" s="21" t="s">
        <v>62</v>
      </c>
      <c r="D54" s="12" t="s">
        <v>63</v>
      </c>
      <c r="E54" s="12"/>
      <c r="F54" s="10" t="s">
        <v>64</v>
      </c>
    </row>
    <row r="55" customFormat="false" ht="27.75" hidden="false" customHeight="true" outlineLevel="0" collapsed="false">
      <c r="B55" s="13" t="s">
        <v>65</v>
      </c>
      <c r="C55" s="22" t="s">
        <v>66</v>
      </c>
      <c r="D55" s="15" t="s">
        <v>67</v>
      </c>
      <c r="E55" s="15"/>
      <c r="F55" s="13" t="s">
        <v>68</v>
      </c>
    </row>
    <row r="56" customFormat="false" ht="27.75" hidden="false" customHeight="true" outlineLevel="0" collapsed="false">
      <c r="B56" s="10" t="s">
        <v>69</v>
      </c>
      <c r="C56" s="21" t="s">
        <v>70</v>
      </c>
      <c r="D56" s="12" t="s">
        <v>71</v>
      </c>
      <c r="E56" s="12"/>
      <c r="F56" s="10" t="s">
        <v>72</v>
      </c>
    </row>
    <row r="58" customFormat="false" ht="25.5" hidden="false" customHeight="true" outlineLevel="0" collapsed="false">
      <c r="B58" s="23" t="s">
        <v>73</v>
      </c>
      <c r="C58" s="24" t="s">
        <v>74</v>
      </c>
      <c r="D58" s="24"/>
      <c r="E58" s="24"/>
      <c r="F58" s="24"/>
    </row>
    <row r="59" customFormat="false" ht="25.5" hidden="false" customHeight="true" outlineLevel="0" collapsed="false">
      <c r="B59" s="25" t="s">
        <v>73</v>
      </c>
      <c r="C59" s="24" t="s">
        <v>75</v>
      </c>
      <c r="D59" s="24"/>
      <c r="E59" s="24"/>
      <c r="F59" s="24"/>
    </row>
    <row r="60" customFormat="false" ht="25.5" hidden="false" customHeight="true" outlineLevel="0" collapsed="false">
      <c r="B60" s="25" t="s">
        <v>73</v>
      </c>
      <c r="C60" s="24" t="s">
        <v>76</v>
      </c>
      <c r="D60" s="24"/>
      <c r="E60" s="24"/>
      <c r="F60" s="24"/>
    </row>
    <row r="61" customFormat="false" ht="19.5" hidden="false" customHeight="true" outlineLevel="0" collapsed="false">
      <c r="B61" s="25" t="s">
        <v>73</v>
      </c>
      <c r="C61" s="24" t="s">
        <v>77</v>
      </c>
      <c r="D61" s="24"/>
      <c r="E61" s="24"/>
      <c r="F61" s="24"/>
    </row>
    <row r="62" customFormat="false" ht="25.5" hidden="false" customHeight="true" outlineLevel="0" collapsed="false">
      <c r="B62" s="25" t="s">
        <v>73</v>
      </c>
      <c r="C62" s="24" t="s">
        <v>78</v>
      </c>
      <c r="D62" s="24"/>
      <c r="E62" s="24"/>
      <c r="F62" s="24"/>
    </row>
    <row r="64" customFormat="false" ht="15" hidden="false" customHeight="false" outlineLevel="0" collapsed="false">
      <c r="B64" s="26" t="s">
        <v>79</v>
      </c>
    </row>
  </sheetData>
  <mergeCells count="31">
    <mergeCell ref="B2:F2"/>
    <mergeCell ref="C5:F5"/>
    <mergeCell ref="C6:F6"/>
    <mergeCell ref="C7:F7"/>
    <mergeCell ref="C8:F8"/>
    <mergeCell ref="C9:F9"/>
    <mergeCell ref="C10:F10"/>
    <mergeCell ref="C11:F11"/>
    <mergeCell ref="C12:F12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51:E51"/>
    <mergeCell ref="D52:E52"/>
    <mergeCell ref="D53:E53"/>
    <mergeCell ref="D54:E54"/>
    <mergeCell ref="D55:E55"/>
    <mergeCell ref="D56:E56"/>
    <mergeCell ref="C58:F58"/>
    <mergeCell ref="C59:F59"/>
    <mergeCell ref="C60:F60"/>
    <mergeCell ref="C61:F61"/>
    <mergeCell ref="C62:F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34"/>
    <col collapsed="false" customWidth="true" hidden="false" outlineLevel="0" max="6" min="6" style="1" width="30"/>
    <col collapsed="false" customWidth="true" hidden="false" outlineLevel="0" max="7" min="7" style="1" width="60"/>
    <col collapsed="false" customWidth="true" hidden="false" outlineLevel="0" max="8" min="8" style="1" width="50"/>
  </cols>
  <sheetData>
    <row r="2" customFormat="false" ht="31.5" hidden="false" customHeight="true" outlineLevel="0" collapsed="false">
      <c r="B2" s="2" t="s">
        <v>80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50</v>
      </c>
      <c r="C4" s="8" t="s">
        <v>81</v>
      </c>
      <c r="D4" s="8" t="s">
        <v>25</v>
      </c>
      <c r="E4" s="8" t="s">
        <v>82</v>
      </c>
      <c r="F4" s="8" t="s">
        <v>83</v>
      </c>
      <c r="G4" s="8" t="s">
        <v>84</v>
      </c>
      <c r="H4" s="8" t="s">
        <v>85</v>
      </c>
    </row>
    <row r="5" customFormat="false" ht="90.75" hidden="false" customHeight="true" outlineLevel="0" collapsed="false">
      <c r="B5" s="4" t="s">
        <v>86</v>
      </c>
      <c r="C5" s="27" t="s">
        <v>87</v>
      </c>
      <c r="D5" s="28" t="s">
        <v>88</v>
      </c>
      <c r="E5" s="28" t="s">
        <v>89</v>
      </c>
      <c r="F5" s="28" t="s">
        <v>90</v>
      </c>
      <c r="G5" s="28" t="s">
        <v>91</v>
      </c>
      <c r="H5" s="28" t="s">
        <v>92</v>
      </c>
    </row>
    <row r="6" customFormat="false" ht="78" hidden="false" customHeight="true" outlineLevel="0" collapsed="false">
      <c r="B6" s="6" t="s">
        <v>93</v>
      </c>
      <c r="C6" s="27" t="s">
        <v>87</v>
      </c>
      <c r="D6" s="29" t="s">
        <v>88</v>
      </c>
      <c r="E6" s="29" t="s">
        <v>94</v>
      </c>
      <c r="F6" s="29" t="s">
        <v>95</v>
      </c>
      <c r="G6" s="29" t="s">
        <v>96</v>
      </c>
      <c r="H6" s="29" t="s">
        <v>97</v>
      </c>
    </row>
    <row r="7" customFormat="false" ht="103.5" hidden="false" customHeight="true" outlineLevel="0" collapsed="false">
      <c r="B7" s="4" t="s">
        <v>54</v>
      </c>
      <c r="C7" s="27" t="s">
        <v>87</v>
      </c>
      <c r="D7" s="28" t="s">
        <v>98</v>
      </c>
      <c r="E7" s="28" t="s">
        <v>99</v>
      </c>
      <c r="F7" s="28" t="s">
        <v>100</v>
      </c>
      <c r="G7" s="28" t="s">
        <v>101</v>
      </c>
      <c r="H7" s="28" t="s">
        <v>102</v>
      </c>
    </row>
    <row r="8" customFormat="false" ht="78" hidden="false" customHeight="true" outlineLevel="0" collapsed="false">
      <c r="B8" s="6" t="s">
        <v>66</v>
      </c>
      <c r="C8" s="27" t="s">
        <v>87</v>
      </c>
      <c r="D8" s="29" t="s">
        <v>103</v>
      </c>
      <c r="E8" s="29" t="s">
        <v>104</v>
      </c>
      <c r="F8" s="29" t="s">
        <v>105</v>
      </c>
      <c r="G8" s="29" t="s">
        <v>106</v>
      </c>
      <c r="H8" s="29" t="s">
        <v>107</v>
      </c>
    </row>
    <row r="9" customFormat="false" ht="90.75" hidden="false" customHeight="true" outlineLevel="0" collapsed="false">
      <c r="B9" s="4" t="s">
        <v>108</v>
      </c>
      <c r="C9" s="27" t="s">
        <v>109</v>
      </c>
      <c r="D9" s="28" t="s">
        <v>110</v>
      </c>
      <c r="E9" s="28" t="s">
        <v>111</v>
      </c>
      <c r="F9" s="28" t="s">
        <v>112</v>
      </c>
      <c r="G9" s="28" t="s">
        <v>113</v>
      </c>
      <c r="H9" s="28" t="s">
        <v>114</v>
      </c>
    </row>
    <row r="10" customFormat="false" ht="90.75" hidden="false" customHeight="true" outlineLevel="0" collapsed="false">
      <c r="B10" s="6" t="s">
        <v>115</v>
      </c>
      <c r="C10" s="27" t="s">
        <v>109</v>
      </c>
      <c r="D10" s="29" t="s">
        <v>110</v>
      </c>
      <c r="E10" s="29" t="s">
        <v>116</v>
      </c>
      <c r="F10" s="29" t="s">
        <v>117</v>
      </c>
      <c r="G10" s="29" t="s">
        <v>118</v>
      </c>
      <c r="H10" s="29" t="s">
        <v>119</v>
      </c>
    </row>
    <row r="11" customFormat="false" ht="64.5" hidden="false" customHeight="true" outlineLevel="0" collapsed="false">
      <c r="B11" s="4" t="s">
        <v>120</v>
      </c>
      <c r="C11" s="27" t="s">
        <v>109</v>
      </c>
      <c r="D11" s="28" t="s">
        <v>110</v>
      </c>
      <c r="E11" s="28" t="s">
        <v>121</v>
      </c>
      <c r="F11" s="28" t="s">
        <v>122</v>
      </c>
      <c r="G11" s="28" t="s">
        <v>123</v>
      </c>
      <c r="H11" s="28" t="s">
        <v>124</v>
      </c>
    </row>
    <row r="12" customFormat="false" ht="78" hidden="false" customHeight="true" outlineLevel="0" collapsed="false">
      <c r="B12" s="6" t="s">
        <v>125</v>
      </c>
      <c r="C12" s="27" t="s">
        <v>109</v>
      </c>
      <c r="D12" s="29" t="s">
        <v>103</v>
      </c>
      <c r="E12" s="29" t="s">
        <v>126</v>
      </c>
      <c r="F12" s="29" t="s">
        <v>127</v>
      </c>
      <c r="G12" s="29" t="s">
        <v>128</v>
      </c>
      <c r="H12" s="29" t="s">
        <v>129</v>
      </c>
    </row>
    <row r="13" customFormat="false" ht="78" hidden="false" customHeight="true" outlineLevel="0" collapsed="false">
      <c r="B13" s="4" t="s">
        <v>130</v>
      </c>
      <c r="C13" s="27" t="s">
        <v>109</v>
      </c>
      <c r="D13" s="28" t="s">
        <v>103</v>
      </c>
      <c r="E13" s="28" t="s">
        <v>131</v>
      </c>
      <c r="F13" s="28" t="s">
        <v>132</v>
      </c>
      <c r="G13" s="28" t="s">
        <v>133</v>
      </c>
      <c r="H13" s="28" t="s">
        <v>134</v>
      </c>
    </row>
    <row r="14" customFormat="false" ht="90.75" hidden="false" customHeight="true" outlineLevel="0" collapsed="false">
      <c r="B14" s="6" t="s">
        <v>135</v>
      </c>
      <c r="C14" s="27" t="s">
        <v>109</v>
      </c>
      <c r="D14" s="29" t="s">
        <v>103</v>
      </c>
      <c r="E14" s="29" t="s">
        <v>136</v>
      </c>
      <c r="F14" s="29" t="s">
        <v>137</v>
      </c>
      <c r="G14" s="29" t="s">
        <v>138</v>
      </c>
      <c r="H14" s="29" t="s">
        <v>139</v>
      </c>
    </row>
    <row r="15" customFormat="false" ht="64.5" hidden="false" customHeight="true" outlineLevel="0" collapsed="false">
      <c r="B15" s="4" t="s">
        <v>140</v>
      </c>
      <c r="C15" s="27" t="s">
        <v>109</v>
      </c>
      <c r="D15" s="28" t="s">
        <v>103</v>
      </c>
      <c r="E15" s="28" t="s">
        <v>141</v>
      </c>
      <c r="F15" s="28" t="s">
        <v>142</v>
      </c>
      <c r="G15" s="28" t="s">
        <v>143</v>
      </c>
      <c r="H15" s="28" t="s">
        <v>144</v>
      </c>
    </row>
    <row r="16" customFormat="false" ht="78" hidden="false" customHeight="true" outlineLevel="0" collapsed="false">
      <c r="B16" s="6" t="s">
        <v>70</v>
      </c>
      <c r="C16" s="27" t="s">
        <v>109</v>
      </c>
      <c r="D16" s="29" t="s">
        <v>98</v>
      </c>
      <c r="E16" s="29" t="s">
        <v>145</v>
      </c>
      <c r="F16" s="29" t="s">
        <v>146</v>
      </c>
      <c r="G16" s="29" t="s">
        <v>147</v>
      </c>
      <c r="H16" s="29" t="s">
        <v>148</v>
      </c>
    </row>
    <row r="17" customFormat="false" ht="90.75" hidden="false" customHeight="true" outlineLevel="0" collapsed="false">
      <c r="B17" s="4" t="s">
        <v>149</v>
      </c>
      <c r="C17" s="27" t="s">
        <v>109</v>
      </c>
      <c r="D17" s="28" t="s">
        <v>150</v>
      </c>
      <c r="E17" s="28" t="s">
        <v>151</v>
      </c>
      <c r="F17" s="28" t="s">
        <v>152</v>
      </c>
      <c r="G17" s="28" t="s">
        <v>153</v>
      </c>
      <c r="H17" s="28" t="s">
        <v>154</v>
      </c>
    </row>
    <row r="18" customFormat="false" ht="64.5" hidden="false" customHeight="true" outlineLevel="0" collapsed="false">
      <c r="B18" s="6" t="s">
        <v>155</v>
      </c>
      <c r="C18" s="27" t="s">
        <v>109</v>
      </c>
      <c r="D18" s="29" t="s">
        <v>150</v>
      </c>
      <c r="E18" s="29" t="s">
        <v>156</v>
      </c>
      <c r="F18" s="29" t="s">
        <v>157</v>
      </c>
      <c r="G18" s="29" t="s">
        <v>158</v>
      </c>
      <c r="H18" s="29" t="s">
        <v>159</v>
      </c>
    </row>
    <row r="19" customFormat="false" ht="103.5" hidden="false" customHeight="true" outlineLevel="0" collapsed="false">
      <c r="B19" s="4" t="s">
        <v>160</v>
      </c>
      <c r="C19" s="27" t="s">
        <v>109</v>
      </c>
      <c r="D19" s="28" t="s">
        <v>161</v>
      </c>
      <c r="E19" s="28" t="s">
        <v>162</v>
      </c>
      <c r="F19" s="28" t="s">
        <v>163</v>
      </c>
      <c r="G19" s="28" t="s">
        <v>164</v>
      </c>
      <c r="H19" s="28" t="s">
        <v>165</v>
      </c>
    </row>
    <row r="20" customFormat="false" ht="78" hidden="false" customHeight="true" outlineLevel="0" collapsed="false">
      <c r="B20" s="6" t="s">
        <v>166</v>
      </c>
      <c r="C20" s="27" t="s">
        <v>109</v>
      </c>
      <c r="D20" s="29" t="s">
        <v>167</v>
      </c>
      <c r="E20" s="29" t="s">
        <v>168</v>
      </c>
      <c r="F20" s="29" t="s">
        <v>169</v>
      </c>
      <c r="G20" s="29" t="s">
        <v>170</v>
      </c>
      <c r="H20" s="29" t="s">
        <v>171</v>
      </c>
    </row>
    <row r="21" customFormat="false" ht="103.5" hidden="false" customHeight="true" outlineLevel="0" collapsed="false">
      <c r="B21" s="4" t="s">
        <v>172</v>
      </c>
      <c r="C21" s="27" t="s">
        <v>109</v>
      </c>
      <c r="D21" s="28" t="s">
        <v>173</v>
      </c>
      <c r="E21" s="28" t="s">
        <v>174</v>
      </c>
      <c r="F21" s="28" t="s">
        <v>175</v>
      </c>
      <c r="G21" s="28" t="s">
        <v>176</v>
      </c>
      <c r="H21" s="28" t="s">
        <v>177</v>
      </c>
    </row>
    <row r="22" customFormat="false" ht="64.5" hidden="false" customHeight="true" outlineLevel="0" collapsed="false">
      <c r="B22" s="6" t="s">
        <v>178</v>
      </c>
      <c r="C22" s="30" t="s">
        <v>179</v>
      </c>
      <c r="D22" s="29" t="s">
        <v>110</v>
      </c>
      <c r="E22" s="29" t="s">
        <v>180</v>
      </c>
      <c r="F22" s="29" t="s">
        <v>181</v>
      </c>
      <c r="G22" s="29" t="s">
        <v>182</v>
      </c>
      <c r="H22" s="29" t="s">
        <v>183</v>
      </c>
    </row>
    <row r="23" customFormat="false" ht="78" hidden="false" customHeight="true" outlineLevel="0" collapsed="false">
      <c r="B23" s="4" t="s">
        <v>184</v>
      </c>
      <c r="C23" s="30" t="s">
        <v>179</v>
      </c>
      <c r="D23" s="28" t="s">
        <v>110</v>
      </c>
      <c r="E23" s="28" t="s">
        <v>185</v>
      </c>
      <c r="F23" s="28" t="s">
        <v>186</v>
      </c>
      <c r="G23" s="28" t="s">
        <v>187</v>
      </c>
      <c r="H23" s="28" t="s">
        <v>188</v>
      </c>
    </row>
    <row r="24" customFormat="false" ht="64.5" hidden="false" customHeight="true" outlineLevel="0" collapsed="false">
      <c r="B24" s="6" t="s">
        <v>189</v>
      </c>
      <c r="C24" s="30" t="s">
        <v>179</v>
      </c>
      <c r="D24" s="29" t="s">
        <v>110</v>
      </c>
      <c r="E24" s="29" t="s">
        <v>190</v>
      </c>
      <c r="F24" s="29" t="s">
        <v>191</v>
      </c>
      <c r="G24" s="29" t="s">
        <v>192</v>
      </c>
      <c r="H24" s="29" t="s">
        <v>193</v>
      </c>
    </row>
    <row r="25" customFormat="false" ht="64.5" hidden="false" customHeight="true" outlineLevel="0" collapsed="false">
      <c r="B25" s="4" t="s">
        <v>194</v>
      </c>
      <c r="C25" s="30" t="s">
        <v>179</v>
      </c>
      <c r="D25" s="28" t="s">
        <v>110</v>
      </c>
      <c r="E25" s="28" t="s">
        <v>195</v>
      </c>
      <c r="F25" s="28" t="s">
        <v>196</v>
      </c>
      <c r="G25" s="28" t="s">
        <v>197</v>
      </c>
      <c r="H25" s="28" t="s">
        <v>198</v>
      </c>
    </row>
    <row r="26" customFormat="false" ht="78" hidden="false" customHeight="true" outlineLevel="0" collapsed="false">
      <c r="B26" s="6" t="s">
        <v>199</v>
      </c>
      <c r="C26" s="30" t="s">
        <v>179</v>
      </c>
      <c r="D26" s="29" t="s">
        <v>110</v>
      </c>
      <c r="E26" s="29" t="s">
        <v>200</v>
      </c>
      <c r="F26" s="29" t="s">
        <v>201</v>
      </c>
      <c r="G26" s="29" t="s">
        <v>202</v>
      </c>
      <c r="H26" s="29" t="s">
        <v>203</v>
      </c>
    </row>
    <row r="27" customFormat="false" ht="78" hidden="false" customHeight="true" outlineLevel="0" collapsed="false">
      <c r="B27" s="4" t="s">
        <v>204</v>
      </c>
      <c r="C27" s="30" t="s">
        <v>179</v>
      </c>
      <c r="D27" s="28" t="s">
        <v>150</v>
      </c>
      <c r="E27" s="28" t="s">
        <v>205</v>
      </c>
      <c r="F27" s="28" t="s">
        <v>206</v>
      </c>
      <c r="G27" s="28" t="s">
        <v>207</v>
      </c>
      <c r="H27" s="28" t="s">
        <v>208</v>
      </c>
    </row>
    <row r="28" customFormat="false" ht="51.75" hidden="false" customHeight="true" outlineLevel="0" collapsed="false">
      <c r="B28" s="6" t="s">
        <v>209</v>
      </c>
      <c r="C28" s="30" t="s">
        <v>179</v>
      </c>
      <c r="D28" s="29" t="s">
        <v>161</v>
      </c>
      <c r="E28" s="29" t="s">
        <v>210</v>
      </c>
      <c r="F28" s="29" t="s">
        <v>211</v>
      </c>
      <c r="G28" s="29" t="s">
        <v>212</v>
      </c>
      <c r="H28" s="29" t="s">
        <v>213</v>
      </c>
    </row>
    <row r="29" customFormat="false" ht="64.5" hidden="false" customHeight="true" outlineLevel="0" collapsed="false">
      <c r="B29" s="4" t="s">
        <v>214</v>
      </c>
      <c r="C29" s="30" t="s">
        <v>179</v>
      </c>
      <c r="D29" s="28" t="s">
        <v>150</v>
      </c>
      <c r="E29" s="28" t="s">
        <v>215</v>
      </c>
      <c r="F29" s="28" t="s">
        <v>216</v>
      </c>
      <c r="G29" s="28" t="s">
        <v>217</v>
      </c>
      <c r="H29" s="28" t="s">
        <v>218</v>
      </c>
    </row>
    <row r="30" customFormat="false" ht="51.75" hidden="false" customHeight="true" outlineLevel="0" collapsed="false">
      <c r="B30" s="6" t="s">
        <v>219</v>
      </c>
      <c r="C30" s="30" t="s">
        <v>179</v>
      </c>
      <c r="D30" s="29" t="s">
        <v>150</v>
      </c>
      <c r="E30" s="29" t="s">
        <v>220</v>
      </c>
      <c r="F30" s="29" t="s">
        <v>221</v>
      </c>
      <c r="G30" s="29" t="s">
        <v>222</v>
      </c>
      <c r="H30" s="29" t="s">
        <v>223</v>
      </c>
    </row>
    <row r="31" customFormat="false" ht="51.75" hidden="false" customHeight="true" outlineLevel="0" collapsed="false">
      <c r="B31" s="4" t="s">
        <v>224</v>
      </c>
      <c r="C31" s="30" t="s">
        <v>179</v>
      </c>
      <c r="D31" s="28" t="s">
        <v>150</v>
      </c>
      <c r="E31" s="28" t="s">
        <v>225</v>
      </c>
      <c r="F31" s="28" t="s">
        <v>226</v>
      </c>
      <c r="G31" s="28" t="s">
        <v>227</v>
      </c>
      <c r="H31" s="28" t="s">
        <v>228</v>
      </c>
    </row>
    <row r="32" customFormat="false" ht="51.75" hidden="false" customHeight="true" outlineLevel="0" collapsed="false">
      <c r="B32" s="6" t="s">
        <v>229</v>
      </c>
      <c r="C32" s="30" t="s">
        <v>179</v>
      </c>
      <c r="D32" s="29" t="s">
        <v>110</v>
      </c>
      <c r="E32" s="29" t="s">
        <v>230</v>
      </c>
      <c r="F32" s="29" t="s">
        <v>231</v>
      </c>
      <c r="G32" s="29" t="s">
        <v>232</v>
      </c>
      <c r="H32" s="29" t="s">
        <v>233</v>
      </c>
    </row>
    <row r="33" customFormat="false" ht="78" hidden="false" customHeight="true" outlineLevel="0" collapsed="false">
      <c r="B33" s="4" t="s">
        <v>234</v>
      </c>
      <c r="C33" s="30" t="s">
        <v>179</v>
      </c>
      <c r="D33" s="28" t="s">
        <v>103</v>
      </c>
      <c r="E33" s="28" t="s">
        <v>235</v>
      </c>
      <c r="F33" s="28" t="s">
        <v>236</v>
      </c>
      <c r="G33" s="28" t="s">
        <v>237</v>
      </c>
      <c r="H33" s="28" t="s">
        <v>238</v>
      </c>
    </row>
    <row r="34" customFormat="false" ht="78" hidden="false" customHeight="true" outlineLevel="0" collapsed="false">
      <c r="B34" s="6" t="s">
        <v>239</v>
      </c>
      <c r="C34" s="30" t="s">
        <v>179</v>
      </c>
      <c r="D34" s="29" t="s">
        <v>103</v>
      </c>
      <c r="E34" s="29" t="s">
        <v>240</v>
      </c>
      <c r="F34" s="29" t="s">
        <v>241</v>
      </c>
      <c r="G34" s="29" t="s">
        <v>242</v>
      </c>
      <c r="H34" s="29" t="s">
        <v>243</v>
      </c>
    </row>
    <row r="35" customFormat="false" ht="78" hidden="false" customHeight="true" outlineLevel="0" collapsed="false">
      <c r="B35" s="4" t="s">
        <v>244</v>
      </c>
      <c r="C35" s="30" t="s">
        <v>179</v>
      </c>
      <c r="D35" s="28" t="s">
        <v>103</v>
      </c>
      <c r="E35" s="28" t="s">
        <v>245</v>
      </c>
      <c r="F35" s="28" t="s">
        <v>246</v>
      </c>
      <c r="G35" s="28" t="s">
        <v>247</v>
      </c>
      <c r="H35" s="28" t="s">
        <v>248</v>
      </c>
    </row>
    <row r="36" customFormat="false" ht="51.75" hidden="false" customHeight="true" outlineLevel="0" collapsed="false">
      <c r="B36" s="6" t="s">
        <v>249</v>
      </c>
      <c r="C36" s="30" t="s">
        <v>179</v>
      </c>
      <c r="D36" s="29" t="s">
        <v>103</v>
      </c>
      <c r="E36" s="29" t="s">
        <v>250</v>
      </c>
      <c r="F36" s="29" t="s">
        <v>251</v>
      </c>
      <c r="G36" s="29" t="s">
        <v>252</v>
      </c>
      <c r="H36" s="29" t="s">
        <v>253</v>
      </c>
    </row>
    <row r="37" customFormat="false" ht="51.75" hidden="false" customHeight="true" outlineLevel="0" collapsed="false">
      <c r="B37" s="4" t="s">
        <v>254</v>
      </c>
      <c r="C37" s="30" t="s">
        <v>179</v>
      </c>
      <c r="D37" s="28" t="s">
        <v>88</v>
      </c>
      <c r="E37" s="28" t="s">
        <v>255</v>
      </c>
      <c r="F37" s="28" t="s">
        <v>256</v>
      </c>
      <c r="G37" s="28" t="s">
        <v>257</v>
      </c>
      <c r="H37" s="28" t="s">
        <v>258</v>
      </c>
    </row>
    <row r="38" customFormat="false" ht="64.5" hidden="false" customHeight="true" outlineLevel="0" collapsed="false">
      <c r="B38" s="6" t="s">
        <v>259</v>
      </c>
      <c r="C38" s="30" t="s">
        <v>179</v>
      </c>
      <c r="D38" s="29" t="s">
        <v>260</v>
      </c>
      <c r="E38" s="29" t="s">
        <v>261</v>
      </c>
      <c r="F38" s="29" t="s">
        <v>262</v>
      </c>
      <c r="G38" s="29" t="s">
        <v>263</v>
      </c>
      <c r="H38" s="29" t="s">
        <v>264</v>
      </c>
    </row>
    <row r="39" customFormat="false" ht="64.5" hidden="false" customHeight="true" outlineLevel="0" collapsed="false">
      <c r="B39" s="4" t="s">
        <v>265</v>
      </c>
      <c r="C39" s="30" t="s">
        <v>179</v>
      </c>
      <c r="D39" s="28" t="s">
        <v>150</v>
      </c>
      <c r="E39" s="28" t="s">
        <v>266</v>
      </c>
      <c r="F39" s="28" t="s">
        <v>267</v>
      </c>
      <c r="G39" s="28" t="s">
        <v>268</v>
      </c>
      <c r="H39" s="28" t="s">
        <v>269</v>
      </c>
    </row>
    <row r="40" customFormat="false" ht="39" hidden="false" customHeight="true" outlineLevel="0" collapsed="false">
      <c r="B40" s="6" t="s">
        <v>270</v>
      </c>
      <c r="C40" s="31" t="s">
        <v>271</v>
      </c>
      <c r="D40" s="29" t="s">
        <v>98</v>
      </c>
      <c r="E40" s="29" t="s">
        <v>272</v>
      </c>
      <c r="F40" s="29" t="s">
        <v>273</v>
      </c>
      <c r="G40" s="29" t="s">
        <v>274</v>
      </c>
      <c r="H40" s="29" t="s">
        <v>275</v>
      </c>
    </row>
    <row r="41" customFormat="false" ht="39" hidden="false" customHeight="true" outlineLevel="0" collapsed="false">
      <c r="B41" s="4" t="s">
        <v>276</v>
      </c>
      <c r="C41" s="31" t="s">
        <v>271</v>
      </c>
      <c r="D41" s="28" t="s">
        <v>277</v>
      </c>
      <c r="E41" s="28" t="s">
        <v>278</v>
      </c>
      <c r="F41" s="28" t="s">
        <v>279</v>
      </c>
      <c r="G41" s="28" t="s">
        <v>280</v>
      </c>
      <c r="H41" s="28" t="s">
        <v>281</v>
      </c>
    </row>
    <row r="42" customFormat="false" ht="64.5" hidden="false" customHeight="true" outlineLevel="0" collapsed="false">
      <c r="B42" s="6" t="s">
        <v>282</v>
      </c>
      <c r="C42" s="31" t="s">
        <v>271</v>
      </c>
      <c r="D42" s="29" t="s">
        <v>283</v>
      </c>
      <c r="E42" s="29" t="s">
        <v>284</v>
      </c>
      <c r="F42" s="29" t="s">
        <v>285</v>
      </c>
      <c r="G42" s="29" t="s">
        <v>286</v>
      </c>
      <c r="H42" s="29" t="s">
        <v>287</v>
      </c>
    </row>
    <row r="43" customFormat="false" ht="39" hidden="false" customHeight="true" outlineLevel="0" collapsed="false">
      <c r="B43" s="4" t="s">
        <v>288</v>
      </c>
      <c r="C43" s="31" t="s">
        <v>271</v>
      </c>
      <c r="D43" s="28" t="s">
        <v>161</v>
      </c>
      <c r="E43" s="28" t="s">
        <v>289</v>
      </c>
      <c r="F43" s="28" t="s">
        <v>290</v>
      </c>
      <c r="G43" s="28" t="s">
        <v>291</v>
      </c>
      <c r="H43" s="28" t="s">
        <v>292</v>
      </c>
    </row>
    <row r="44" customFormat="false" ht="39" hidden="false" customHeight="true" outlineLevel="0" collapsed="false">
      <c r="B44" s="6" t="s">
        <v>293</v>
      </c>
      <c r="C44" s="31" t="s">
        <v>271</v>
      </c>
      <c r="D44" s="29" t="s">
        <v>110</v>
      </c>
      <c r="E44" s="29" t="s">
        <v>294</v>
      </c>
      <c r="F44" s="29" t="s">
        <v>295</v>
      </c>
      <c r="G44" s="29" t="s">
        <v>296</v>
      </c>
      <c r="H44" s="29" t="s">
        <v>297</v>
      </c>
    </row>
    <row r="45" customFormat="false" ht="39" hidden="false" customHeight="true" outlineLevel="0" collapsed="false">
      <c r="B45" s="4" t="s">
        <v>298</v>
      </c>
      <c r="C45" s="31" t="s">
        <v>271</v>
      </c>
      <c r="D45" s="28" t="s">
        <v>110</v>
      </c>
      <c r="E45" s="28" t="s">
        <v>299</v>
      </c>
      <c r="F45" s="28" t="s">
        <v>300</v>
      </c>
      <c r="G45" s="28" t="s">
        <v>301</v>
      </c>
      <c r="H45" s="28" t="s">
        <v>302</v>
      </c>
    </row>
    <row r="46" customFormat="false" ht="51.75" hidden="false" customHeight="true" outlineLevel="0" collapsed="false">
      <c r="B46" s="6" t="s">
        <v>303</v>
      </c>
      <c r="C46" s="31" t="s">
        <v>271</v>
      </c>
      <c r="D46" s="29" t="s">
        <v>110</v>
      </c>
      <c r="E46" s="29" t="s">
        <v>304</v>
      </c>
      <c r="F46" s="29" t="s">
        <v>305</v>
      </c>
      <c r="G46" s="29" t="s">
        <v>306</v>
      </c>
      <c r="H46" s="29" t="s">
        <v>307</v>
      </c>
    </row>
    <row r="47" customFormat="false" ht="64.5" hidden="false" customHeight="true" outlineLevel="0" collapsed="false">
      <c r="B47" s="4" t="s">
        <v>308</v>
      </c>
      <c r="C47" s="31" t="s">
        <v>271</v>
      </c>
      <c r="D47" s="28" t="s">
        <v>98</v>
      </c>
      <c r="E47" s="28" t="s">
        <v>309</v>
      </c>
      <c r="F47" s="28" t="s">
        <v>310</v>
      </c>
      <c r="G47" s="28" t="s">
        <v>311</v>
      </c>
      <c r="H47" s="28" t="s">
        <v>312</v>
      </c>
    </row>
    <row r="48" customFormat="false" ht="51.75" hidden="false" customHeight="true" outlineLevel="0" collapsed="false">
      <c r="B48" s="6" t="s">
        <v>313</v>
      </c>
      <c r="C48" s="31" t="s">
        <v>271</v>
      </c>
      <c r="D48" s="29" t="s">
        <v>314</v>
      </c>
      <c r="E48" s="29" t="s">
        <v>315</v>
      </c>
      <c r="F48" s="29" t="s">
        <v>316</v>
      </c>
      <c r="G48" s="29" t="s">
        <v>317</v>
      </c>
      <c r="H48" s="29" t="s">
        <v>318</v>
      </c>
    </row>
    <row r="49" customFormat="false" ht="78" hidden="false" customHeight="true" outlineLevel="0" collapsed="false">
      <c r="B49" s="4" t="s">
        <v>319</v>
      </c>
      <c r="C49" s="31" t="s">
        <v>271</v>
      </c>
      <c r="D49" s="28" t="s">
        <v>110</v>
      </c>
      <c r="E49" s="28" t="s">
        <v>320</v>
      </c>
      <c r="F49" s="28" t="s">
        <v>321</v>
      </c>
      <c r="G49" s="28" t="s">
        <v>322</v>
      </c>
      <c r="H49" s="28" t="s">
        <v>323</v>
      </c>
    </row>
  </sheetData>
  <autoFilter ref="B4:H49"/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B2:I4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42"/>
    <col collapsed="false" customWidth="true" hidden="false" outlineLevel="0" max="5" min="5" style="1" width="28"/>
    <col collapsed="false" customWidth="true" hidden="false" outlineLevel="0" max="6" min="6" style="1" width="9"/>
    <col collapsed="false" customWidth="true" hidden="false" outlineLevel="0" max="7" min="7" style="1" width="11"/>
    <col collapsed="false" customWidth="true" hidden="false" outlineLevel="0" max="8" min="8" style="1" width="46"/>
    <col collapsed="false" customWidth="true" hidden="false" outlineLevel="0" max="9" min="9" style="1" width="15"/>
  </cols>
  <sheetData>
    <row r="2" customFormat="false" ht="31.5" hidden="false" customHeight="true" outlineLevel="0" collapsed="false">
      <c r="B2" s="2" t="s">
        <v>324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50</v>
      </c>
      <c r="C4" s="8" t="s">
        <v>325</v>
      </c>
      <c r="D4" s="8" t="s">
        <v>326</v>
      </c>
      <c r="E4" s="8" t="s">
        <v>327</v>
      </c>
      <c r="F4" s="8" t="s">
        <v>328</v>
      </c>
      <c r="G4" s="8" t="s">
        <v>329</v>
      </c>
      <c r="H4" s="8" t="s">
        <v>330</v>
      </c>
      <c r="I4" s="8" t="s">
        <v>331</v>
      </c>
    </row>
    <row r="5" customFormat="false" ht="24" hidden="false" customHeight="true" outlineLevel="0" collapsed="false">
      <c r="B5" s="32" t="s">
        <v>332</v>
      </c>
      <c r="C5" s="32"/>
      <c r="D5" s="32"/>
      <c r="E5" s="32"/>
      <c r="F5" s="32"/>
      <c r="G5" s="32"/>
      <c r="H5" s="32"/>
      <c r="I5" s="32"/>
    </row>
    <row r="6" customFormat="false" ht="39" hidden="false" customHeight="true" outlineLevel="0" collapsed="false">
      <c r="B6" s="4" t="s">
        <v>333</v>
      </c>
      <c r="C6" s="33" t="s">
        <v>334</v>
      </c>
      <c r="D6" s="28" t="s">
        <v>335</v>
      </c>
      <c r="E6" s="28" t="s">
        <v>336</v>
      </c>
      <c r="F6" s="33" t="s">
        <v>337</v>
      </c>
      <c r="G6" s="27" t="s">
        <v>338</v>
      </c>
      <c r="H6" s="28" t="s">
        <v>339</v>
      </c>
      <c r="I6" s="28" t="s">
        <v>54</v>
      </c>
    </row>
    <row r="7" customFormat="false" ht="39" hidden="false" customHeight="true" outlineLevel="0" collapsed="false">
      <c r="B7" s="6" t="s">
        <v>340</v>
      </c>
      <c r="C7" s="34" t="s">
        <v>334</v>
      </c>
      <c r="D7" s="29" t="s">
        <v>341</v>
      </c>
      <c r="E7" s="29" t="s">
        <v>342</v>
      </c>
      <c r="F7" s="34" t="s">
        <v>337</v>
      </c>
      <c r="G7" s="27" t="s">
        <v>338</v>
      </c>
      <c r="H7" s="29" t="s">
        <v>343</v>
      </c>
      <c r="I7" s="29" t="s">
        <v>70</v>
      </c>
    </row>
    <row r="8" customFormat="false" ht="30" hidden="false" customHeight="true" outlineLevel="0" collapsed="false">
      <c r="B8" s="4" t="s">
        <v>344</v>
      </c>
      <c r="C8" s="33" t="s">
        <v>334</v>
      </c>
      <c r="D8" s="28" t="s">
        <v>345</v>
      </c>
      <c r="E8" s="28" t="s">
        <v>346</v>
      </c>
      <c r="F8" s="33" t="s">
        <v>337</v>
      </c>
      <c r="G8" s="27" t="s">
        <v>338</v>
      </c>
      <c r="H8" s="28" t="s">
        <v>347</v>
      </c>
      <c r="I8" s="28" t="s">
        <v>93</v>
      </c>
    </row>
    <row r="9" customFormat="false" ht="39" hidden="false" customHeight="true" outlineLevel="0" collapsed="false">
      <c r="B9" s="6" t="s">
        <v>348</v>
      </c>
      <c r="C9" s="34" t="s">
        <v>334</v>
      </c>
      <c r="D9" s="29" t="s">
        <v>349</v>
      </c>
      <c r="E9" s="29" t="s">
        <v>350</v>
      </c>
      <c r="F9" s="34" t="s">
        <v>351</v>
      </c>
      <c r="G9" s="27" t="s">
        <v>338</v>
      </c>
      <c r="H9" s="29" t="s">
        <v>352</v>
      </c>
      <c r="I9" s="29" t="s">
        <v>86</v>
      </c>
    </row>
    <row r="10" customFormat="false" ht="39" hidden="false" customHeight="true" outlineLevel="0" collapsed="false">
      <c r="B10" s="4" t="s">
        <v>353</v>
      </c>
      <c r="C10" s="33" t="s">
        <v>334</v>
      </c>
      <c r="D10" s="28" t="s">
        <v>354</v>
      </c>
      <c r="E10" s="28" t="s">
        <v>355</v>
      </c>
      <c r="F10" s="33" t="s">
        <v>337</v>
      </c>
      <c r="G10" s="27" t="s">
        <v>338</v>
      </c>
      <c r="H10" s="28" t="s">
        <v>356</v>
      </c>
      <c r="I10" s="28" t="s">
        <v>66</v>
      </c>
    </row>
    <row r="11" customFormat="false" ht="24" hidden="false" customHeight="true" outlineLevel="0" collapsed="false">
      <c r="B11" s="32" t="s">
        <v>357</v>
      </c>
      <c r="C11" s="32"/>
      <c r="D11" s="32"/>
      <c r="E11" s="32"/>
      <c r="F11" s="32"/>
      <c r="G11" s="32"/>
      <c r="H11" s="32"/>
      <c r="I11" s="32"/>
    </row>
    <row r="12" customFormat="false" ht="30" hidden="false" customHeight="true" outlineLevel="0" collapsed="false">
      <c r="B12" s="6" t="s">
        <v>358</v>
      </c>
      <c r="C12" s="34" t="s">
        <v>359</v>
      </c>
      <c r="D12" s="29" t="s">
        <v>360</v>
      </c>
      <c r="E12" s="29" t="s">
        <v>361</v>
      </c>
      <c r="F12" s="34" t="s">
        <v>337</v>
      </c>
      <c r="G12" s="30" t="s">
        <v>362</v>
      </c>
      <c r="H12" s="29" t="s">
        <v>363</v>
      </c>
      <c r="I12" s="29" t="s">
        <v>135</v>
      </c>
    </row>
    <row r="13" customFormat="false" ht="39" hidden="false" customHeight="true" outlineLevel="0" collapsed="false">
      <c r="B13" s="4" t="s">
        <v>364</v>
      </c>
      <c r="C13" s="33" t="s">
        <v>359</v>
      </c>
      <c r="D13" s="28" t="s">
        <v>365</v>
      </c>
      <c r="E13" s="28" t="s">
        <v>366</v>
      </c>
      <c r="F13" s="33" t="s">
        <v>351</v>
      </c>
      <c r="G13" s="30" t="s">
        <v>362</v>
      </c>
      <c r="H13" s="28" t="s">
        <v>367</v>
      </c>
      <c r="I13" s="28" t="s">
        <v>130</v>
      </c>
    </row>
    <row r="14" customFormat="false" ht="30" hidden="false" customHeight="true" outlineLevel="0" collapsed="false">
      <c r="B14" s="6" t="s">
        <v>368</v>
      </c>
      <c r="C14" s="34" t="s">
        <v>359</v>
      </c>
      <c r="D14" s="29" t="s">
        <v>369</v>
      </c>
      <c r="E14" s="29" t="s">
        <v>370</v>
      </c>
      <c r="F14" s="34" t="s">
        <v>337</v>
      </c>
      <c r="G14" s="30" t="s">
        <v>362</v>
      </c>
      <c r="H14" s="29" t="s">
        <v>371</v>
      </c>
      <c r="I14" s="29" t="s">
        <v>125</v>
      </c>
    </row>
    <row r="15" customFormat="false" ht="39" hidden="false" customHeight="true" outlineLevel="0" collapsed="false">
      <c r="B15" s="4" t="s">
        <v>372</v>
      </c>
      <c r="C15" s="33" t="s">
        <v>359</v>
      </c>
      <c r="D15" s="28" t="s">
        <v>373</v>
      </c>
      <c r="E15" s="28" t="s">
        <v>374</v>
      </c>
      <c r="F15" s="33" t="s">
        <v>351</v>
      </c>
      <c r="G15" s="30" t="s">
        <v>362</v>
      </c>
      <c r="H15" s="28" t="s">
        <v>375</v>
      </c>
      <c r="I15" s="28" t="s">
        <v>376</v>
      </c>
    </row>
    <row r="16" customFormat="false" ht="30" hidden="false" customHeight="true" outlineLevel="0" collapsed="false">
      <c r="B16" s="6" t="s">
        <v>377</v>
      </c>
      <c r="C16" s="34" t="s">
        <v>359</v>
      </c>
      <c r="D16" s="29" t="s">
        <v>378</v>
      </c>
      <c r="E16" s="29" t="s">
        <v>379</v>
      </c>
      <c r="F16" s="34" t="s">
        <v>351</v>
      </c>
      <c r="G16" s="30" t="s">
        <v>362</v>
      </c>
      <c r="H16" s="29" t="s">
        <v>380</v>
      </c>
      <c r="I16" s="29" t="s">
        <v>155</v>
      </c>
    </row>
    <row r="17" customFormat="false" ht="39" hidden="false" customHeight="true" outlineLevel="0" collapsed="false">
      <c r="B17" s="4" t="s">
        <v>381</v>
      </c>
      <c r="C17" s="33" t="s">
        <v>359</v>
      </c>
      <c r="D17" s="28" t="s">
        <v>382</v>
      </c>
      <c r="E17" s="28" t="s">
        <v>383</v>
      </c>
      <c r="F17" s="33" t="s">
        <v>351</v>
      </c>
      <c r="G17" s="30" t="s">
        <v>362</v>
      </c>
      <c r="H17" s="28" t="s">
        <v>384</v>
      </c>
      <c r="I17" s="28" t="s">
        <v>149</v>
      </c>
    </row>
    <row r="18" customFormat="false" ht="30" hidden="false" customHeight="true" outlineLevel="0" collapsed="false">
      <c r="B18" s="6" t="s">
        <v>385</v>
      </c>
      <c r="C18" s="34" t="s">
        <v>359</v>
      </c>
      <c r="D18" s="29" t="s">
        <v>386</v>
      </c>
      <c r="E18" s="29" t="s">
        <v>387</v>
      </c>
      <c r="F18" s="34" t="s">
        <v>337</v>
      </c>
      <c r="G18" s="30" t="s">
        <v>362</v>
      </c>
      <c r="H18" s="29" t="s">
        <v>388</v>
      </c>
      <c r="I18" s="29" t="s">
        <v>229</v>
      </c>
    </row>
    <row r="19" customFormat="false" ht="24" hidden="false" customHeight="true" outlineLevel="0" collapsed="false">
      <c r="B19" s="32" t="s">
        <v>389</v>
      </c>
      <c r="C19" s="32"/>
      <c r="D19" s="32"/>
      <c r="E19" s="32"/>
      <c r="F19" s="32"/>
      <c r="G19" s="32"/>
      <c r="H19" s="32"/>
      <c r="I19" s="32"/>
    </row>
    <row r="20" customFormat="false" ht="39" hidden="false" customHeight="true" outlineLevel="0" collapsed="false">
      <c r="B20" s="4" t="s">
        <v>390</v>
      </c>
      <c r="C20" s="33" t="s">
        <v>391</v>
      </c>
      <c r="D20" s="28" t="s">
        <v>392</v>
      </c>
      <c r="E20" s="28" t="s">
        <v>393</v>
      </c>
      <c r="F20" s="33" t="s">
        <v>337</v>
      </c>
      <c r="G20" s="30" t="s">
        <v>362</v>
      </c>
      <c r="H20" s="28" t="s">
        <v>394</v>
      </c>
      <c r="I20" s="28" t="s">
        <v>395</v>
      </c>
    </row>
    <row r="21" customFormat="false" ht="30" hidden="false" customHeight="true" outlineLevel="0" collapsed="false">
      <c r="B21" s="6" t="s">
        <v>396</v>
      </c>
      <c r="C21" s="34" t="s">
        <v>391</v>
      </c>
      <c r="D21" s="29" t="s">
        <v>397</v>
      </c>
      <c r="E21" s="29" t="s">
        <v>398</v>
      </c>
      <c r="F21" s="34" t="s">
        <v>351</v>
      </c>
      <c r="G21" s="30" t="s">
        <v>362</v>
      </c>
      <c r="H21" s="29" t="s">
        <v>399</v>
      </c>
      <c r="I21" s="29" t="s">
        <v>400</v>
      </c>
    </row>
    <row r="22" customFormat="false" ht="39" hidden="false" customHeight="true" outlineLevel="0" collapsed="false">
      <c r="B22" s="4" t="s">
        <v>401</v>
      </c>
      <c r="C22" s="33" t="s">
        <v>391</v>
      </c>
      <c r="D22" s="28" t="s">
        <v>402</v>
      </c>
      <c r="E22" s="28" t="s">
        <v>403</v>
      </c>
      <c r="F22" s="33" t="s">
        <v>351</v>
      </c>
      <c r="G22" s="30" t="s">
        <v>362</v>
      </c>
      <c r="H22" s="28" t="s">
        <v>404</v>
      </c>
      <c r="I22" s="28" t="s">
        <v>204</v>
      </c>
    </row>
    <row r="23" customFormat="false" ht="39" hidden="false" customHeight="true" outlineLevel="0" collapsed="false">
      <c r="B23" s="6" t="s">
        <v>405</v>
      </c>
      <c r="C23" s="34" t="s">
        <v>391</v>
      </c>
      <c r="D23" s="29" t="s">
        <v>406</v>
      </c>
      <c r="E23" s="29" t="s">
        <v>407</v>
      </c>
      <c r="F23" s="34" t="s">
        <v>337</v>
      </c>
      <c r="G23" s="30" t="s">
        <v>362</v>
      </c>
      <c r="H23" s="29" t="s">
        <v>408</v>
      </c>
      <c r="I23" s="29" t="s">
        <v>199</v>
      </c>
    </row>
    <row r="24" customFormat="false" ht="30" hidden="false" customHeight="true" outlineLevel="0" collapsed="false">
      <c r="B24" s="4" t="s">
        <v>409</v>
      </c>
      <c r="C24" s="33" t="s">
        <v>391</v>
      </c>
      <c r="D24" s="28" t="s">
        <v>410</v>
      </c>
      <c r="E24" s="28" t="s">
        <v>411</v>
      </c>
      <c r="F24" s="33" t="s">
        <v>337</v>
      </c>
      <c r="G24" s="35" t="s">
        <v>412</v>
      </c>
      <c r="H24" s="28" t="s">
        <v>413</v>
      </c>
      <c r="I24" s="28" t="s">
        <v>194</v>
      </c>
    </row>
    <row r="25" customFormat="false" ht="30" hidden="false" customHeight="true" outlineLevel="0" collapsed="false">
      <c r="B25" s="6" t="s">
        <v>414</v>
      </c>
      <c r="C25" s="34" t="s">
        <v>391</v>
      </c>
      <c r="D25" s="29" t="s">
        <v>415</v>
      </c>
      <c r="E25" s="29" t="s">
        <v>403</v>
      </c>
      <c r="F25" s="34" t="s">
        <v>337</v>
      </c>
      <c r="G25" s="35" t="s">
        <v>412</v>
      </c>
      <c r="H25" s="29" t="s">
        <v>416</v>
      </c>
      <c r="I25" s="29" t="s">
        <v>219</v>
      </c>
    </row>
    <row r="26" customFormat="false" ht="30" hidden="false" customHeight="true" outlineLevel="0" collapsed="false">
      <c r="B26" s="4" t="s">
        <v>417</v>
      </c>
      <c r="C26" s="33" t="s">
        <v>391</v>
      </c>
      <c r="D26" s="28" t="s">
        <v>418</v>
      </c>
      <c r="E26" s="28" t="s">
        <v>383</v>
      </c>
      <c r="F26" s="33" t="s">
        <v>337</v>
      </c>
      <c r="G26" s="35" t="s">
        <v>412</v>
      </c>
      <c r="H26" s="28" t="s">
        <v>419</v>
      </c>
      <c r="I26" s="28" t="s">
        <v>224</v>
      </c>
    </row>
    <row r="27" customFormat="false" ht="30" hidden="false" customHeight="true" outlineLevel="0" collapsed="false">
      <c r="B27" s="6" t="s">
        <v>420</v>
      </c>
      <c r="C27" s="34" t="s">
        <v>391</v>
      </c>
      <c r="D27" s="29" t="s">
        <v>421</v>
      </c>
      <c r="E27" s="29" t="s">
        <v>422</v>
      </c>
      <c r="F27" s="34" t="s">
        <v>337</v>
      </c>
      <c r="G27" s="35" t="s">
        <v>412</v>
      </c>
      <c r="H27" s="29" t="s">
        <v>423</v>
      </c>
      <c r="I27" s="29" t="s">
        <v>424</v>
      </c>
    </row>
    <row r="28" customFormat="false" ht="24" hidden="false" customHeight="true" outlineLevel="0" collapsed="false">
      <c r="B28" s="32" t="s">
        <v>425</v>
      </c>
      <c r="C28" s="32"/>
      <c r="D28" s="32"/>
      <c r="E28" s="32"/>
      <c r="F28" s="32"/>
      <c r="G28" s="32"/>
      <c r="H28" s="32"/>
      <c r="I28" s="32"/>
    </row>
    <row r="29" customFormat="false" ht="39" hidden="false" customHeight="true" outlineLevel="0" collapsed="false">
      <c r="B29" s="4" t="s">
        <v>426</v>
      </c>
      <c r="C29" s="33" t="s">
        <v>427</v>
      </c>
      <c r="D29" s="28" t="s">
        <v>428</v>
      </c>
      <c r="E29" s="28" t="s">
        <v>429</v>
      </c>
      <c r="F29" s="33" t="s">
        <v>351</v>
      </c>
      <c r="G29" s="30" t="s">
        <v>362</v>
      </c>
      <c r="H29" s="28" t="s">
        <v>430</v>
      </c>
      <c r="I29" s="28" t="s">
        <v>160</v>
      </c>
    </row>
    <row r="30" customFormat="false" ht="30" hidden="false" customHeight="true" outlineLevel="0" collapsed="false">
      <c r="B30" s="6" t="s">
        <v>431</v>
      </c>
      <c r="C30" s="34" t="s">
        <v>427</v>
      </c>
      <c r="D30" s="29" t="s">
        <v>432</v>
      </c>
      <c r="E30" s="29" t="s">
        <v>433</v>
      </c>
      <c r="F30" s="34" t="s">
        <v>337</v>
      </c>
      <c r="G30" s="35" t="s">
        <v>412</v>
      </c>
      <c r="H30" s="29" t="s">
        <v>434</v>
      </c>
      <c r="I30" s="29" t="s">
        <v>209</v>
      </c>
    </row>
    <row r="31" customFormat="false" ht="30" hidden="false" customHeight="true" outlineLevel="0" collapsed="false">
      <c r="B31" s="4" t="s">
        <v>435</v>
      </c>
      <c r="C31" s="33" t="s">
        <v>427</v>
      </c>
      <c r="D31" s="28" t="s">
        <v>436</v>
      </c>
      <c r="E31" s="28" t="s">
        <v>437</v>
      </c>
      <c r="F31" s="33" t="s">
        <v>337</v>
      </c>
      <c r="G31" s="35" t="s">
        <v>412</v>
      </c>
      <c r="H31" s="28" t="s">
        <v>438</v>
      </c>
      <c r="I31" s="28" t="s">
        <v>214</v>
      </c>
    </row>
    <row r="32" customFormat="false" ht="30" hidden="false" customHeight="true" outlineLevel="0" collapsed="false">
      <c r="B32" s="6" t="s">
        <v>439</v>
      </c>
      <c r="C32" s="34" t="s">
        <v>427</v>
      </c>
      <c r="D32" s="29" t="s">
        <v>440</v>
      </c>
      <c r="E32" s="29" t="s">
        <v>441</v>
      </c>
      <c r="F32" s="34" t="s">
        <v>337</v>
      </c>
      <c r="G32" s="31" t="s">
        <v>442</v>
      </c>
      <c r="H32" s="29" t="s">
        <v>443</v>
      </c>
      <c r="I32" s="29" t="s">
        <v>276</v>
      </c>
    </row>
    <row r="33" customFormat="false" ht="39" hidden="false" customHeight="true" outlineLevel="0" collapsed="false">
      <c r="B33" s="4" t="s">
        <v>444</v>
      </c>
      <c r="C33" s="33" t="s">
        <v>427</v>
      </c>
      <c r="D33" s="28" t="s">
        <v>445</v>
      </c>
      <c r="E33" s="28" t="s">
        <v>446</v>
      </c>
      <c r="F33" s="33" t="s">
        <v>351</v>
      </c>
      <c r="G33" s="35" t="s">
        <v>412</v>
      </c>
      <c r="H33" s="28" t="s">
        <v>447</v>
      </c>
      <c r="I33" s="28" t="s">
        <v>282</v>
      </c>
    </row>
    <row r="34" customFormat="false" ht="30" hidden="false" customHeight="true" outlineLevel="0" collapsed="false">
      <c r="B34" s="6" t="s">
        <v>448</v>
      </c>
      <c r="C34" s="34" t="s">
        <v>427</v>
      </c>
      <c r="D34" s="29" t="s">
        <v>449</v>
      </c>
      <c r="E34" s="29" t="s">
        <v>450</v>
      </c>
      <c r="F34" s="34" t="s">
        <v>337</v>
      </c>
      <c r="G34" s="31" t="s">
        <v>442</v>
      </c>
      <c r="H34" s="29" t="s">
        <v>451</v>
      </c>
      <c r="I34" s="29" t="s">
        <v>288</v>
      </c>
    </row>
    <row r="35" customFormat="false" ht="24" hidden="false" customHeight="true" outlineLevel="0" collapsed="false">
      <c r="B35" s="32" t="s">
        <v>452</v>
      </c>
      <c r="C35" s="32"/>
      <c r="D35" s="32"/>
      <c r="E35" s="32"/>
      <c r="F35" s="32"/>
      <c r="G35" s="32"/>
      <c r="H35" s="32"/>
      <c r="I35" s="32"/>
    </row>
    <row r="36" customFormat="false" ht="39" hidden="false" customHeight="true" outlineLevel="0" collapsed="false">
      <c r="B36" s="4" t="s">
        <v>453</v>
      </c>
      <c r="C36" s="33" t="s">
        <v>454</v>
      </c>
      <c r="D36" s="28" t="s">
        <v>455</v>
      </c>
      <c r="E36" s="28" t="s">
        <v>456</v>
      </c>
      <c r="F36" s="33" t="s">
        <v>337</v>
      </c>
      <c r="G36" s="30" t="s">
        <v>362</v>
      </c>
      <c r="H36" s="28" t="s">
        <v>457</v>
      </c>
      <c r="I36" s="28" t="s">
        <v>166</v>
      </c>
    </row>
    <row r="37" customFormat="false" ht="39" hidden="false" customHeight="true" outlineLevel="0" collapsed="false">
      <c r="B37" s="6" t="s">
        <v>458</v>
      </c>
      <c r="C37" s="34" t="s">
        <v>454</v>
      </c>
      <c r="D37" s="29" t="s">
        <v>459</v>
      </c>
      <c r="E37" s="29" t="s">
        <v>460</v>
      </c>
      <c r="F37" s="34" t="s">
        <v>351</v>
      </c>
      <c r="G37" s="30" t="s">
        <v>362</v>
      </c>
      <c r="H37" s="29" t="s">
        <v>461</v>
      </c>
      <c r="I37" s="29" t="s">
        <v>462</v>
      </c>
    </row>
    <row r="38" customFormat="false" ht="39" hidden="false" customHeight="true" outlineLevel="0" collapsed="false">
      <c r="B38" s="4" t="s">
        <v>463</v>
      </c>
      <c r="C38" s="33" t="s">
        <v>454</v>
      </c>
      <c r="D38" s="28" t="s">
        <v>464</v>
      </c>
      <c r="E38" s="28" t="s">
        <v>465</v>
      </c>
      <c r="F38" s="33" t="s">
        <v>351</v>
      </c>
      <c r="G38" s="35" t="s">
        <v>412</v>
      </c>
      <c r="H38" s="28" t="s">
        <v>466</v>
      </c>
      <c r="I38" s="28" t="s">
        <v>172</v>
      </c>
    </row>
    <row r="39" customFormat="false" ht="39" hidden="false" customHeight="true" outlineLevel="0" collapsed="false">
      <c r="B39" s="6" t="s">
        <v>467</v>
      </c>
      <c r="C39" s="34" t="s">
        <v>454</v>
      </c>
      <c r="D39" s="29" t="s">
        <v>468</v>
      </c>
      <c r="E39" s="29" t="s">
        <v>469</v>
      </c>
      <c r="F39" s="34" t="s">
        <v>470</v>
      </c>
      <c r="G39" s="35" t="s">
        <v>412</v>
      </c>
      <c r="H39" s="29" t="s">
        <v>471</v>
      </c>
      <c r="I39" s="29" t="s">
        <v>54</v>
      </c>
    </row>
    <row r="40" customFormat="false" ht="24" hidden="false" customHeight="true" outlineLevel="0" collapsed="false">
      <c r="B40" s="32" t="s">
        <v>472</v>
      </c>
      <c r="C40" s="32"/>
      <c r="D40" s="32"/>
      <c r="E40" s="32"/>
      <c r="F40" s="32"/>
      <c r="G40" s="32"/>
      <c r="H40" s="32"/>
      <c r="I40" s="32"/>
    </row>
    <row r="41" customFormat="false" ht="30" hidden="false" customHeight="true" outlineLevel="0" collapsed="false">
      <c r="B41" s="4" t="s">
        <v>473</v>
      </c>
      <c r="C41" s="33" t="s">
        <v>474</v>
      </c>
      <c r="D41" s="28" t="s">
        <v>475</v>
      </c>
      <c r="E41" s="28" t="s">
        <v>476</v>
      </c>
      <c r="F41" s="33" t="s">
        <v>337</v>
      </c>
      <c r="G41" s="31" t="s">
        <v>442</v>
      </c>
      <c r="H41" s="28" t="s">
        <v>477</v>
      </c>
      <c r="I41" s="28" t="s">
        <v>478</v>
      </c>
    </row>
    <row r="42" customFormat="false" ht="30" hidden="false" customHeight="true" outlineLevel="0" collapsed="false">
      <c r="B42" s="6" t="s">
        <v>479</v>
      </c>
      <c r="C42" s="34" t="s">
        <v>474</v>
      </c>
      <c r="D42" s="29" t="s">
        <v>480</v>
      </c>
      <c r="E42" s="29" t="s">
        <v>481</v>
      </c>
      <c r="F42" s="34" t="s">
        <v>337</v>
      </c>
      <c r="G42" s="31" t="s">
        <v>442</v>
      </c>
      <c r="H42" s="29" t="s">
        <v>482</v>
      </c>
      <c r="I42" s="29" t="s">
        <v>303</v>
      </c>
    </row>
    <row r="43" customFormat="false" ht="30" hidden="false" customHeight="true" outlineLevel="0" collapsed="false">
      <c r="B43" s="4" t="s">
        <v>483</v>
      </c>
      <c r="C43" s="33" t="s">
        <v>474</v>
      </c>
      <c r="D43" s="28" t="s">
        <v>484</v>
      </c>
      <c r="E43" s="28" t="s">
        <v>485</v>
      </c>
      <c r="F43" s="33" t="s">
        <v>351</v>
      </c>
      <c r="G43" s="31" t="s">
        <v>442</v>
      </c>
      <c r="H43" s="28" t="s">
        <v>486</v>
      </c>
      <c r="I43" s="28" t="s">
        <v>189</v>
      </c>
    </row>
    <row r="44" customFormat="false" ht="30" hidden="false" customHeight="true" outlineLevel="0" collapsed="false">
      <c r="B44" s="6" t="s">
        <v>487</v>
      </c>
      <c r="C44" s="34" t="s">
        <v>474</v>
      </c>
      <c r="D44" s="29" t="s">
        <v>488</v>
      </c>
      <c r="E44" s="29" t="s">
        <v>489</v>
      </c>
      <c r="F44" s="34" t="s">
        <v>337</v>
      </c>
      <c r="G44" s="31" t="s">
        <v>442</v>
      </c>
      <c r="H44" s="29" t="s">
        <v>490</v>
      </c>
      <c r="I44" s="29" t="s">
        <v>491</v>
      </c>
    </row>
    <row r="45" customFormat="false" ht="39" hidden="false" customHeight="true" outlineLevel="0" collapsed="false">
      <c r="B45" s="4" t="s">
        <v>492</v>
      </c>
      <c r="C45" s="33" t="s">
        <v>474</v>
      </c>
      <c r="D45" s="28" t="s">
        <v>493</v>
      </c>
      <c r="E45" s="28" t="s">
        <v>494</v>
      </c>
      <c r="F45" s="33" t="s">
        <v>337</v>
      </c>
      <c r="G45" s="31" t="s">
        <v>442</v>
      </c>
      <c r="H45" s="28" t="s">
        <v>495</v>
      </c>
      <c r="I45" s="28" t="s">
        <v>496</v>
      </c>
    </row>
    <row r="47" customFormat="false" ht="15" hidden="false" customHeight="false" outlineLevel="0" collapsed="false">
      <c r="B47" s="26" t="s">
        <v>497</v>
      </c>
    </row>
  </sheetData>
  <autoFilter ref="B4:I45"/>
  <mergeCells count="7">
    <mergeCell ref="B2:I2"/>
    <mergeCell ref="B5:I5"/>
    <mergeCell ref="B11:I11"/>
    <mergeCell ref="B19:I19"/>
    <mergeCell ref="B28:I28"/>
    <mergeCell ref="B35:I35"/>
    <mergeCell ref="B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4" min="4" style="1" width="42"/>
  </cols>
  <sheetData>
    <row r="2" customFormat="false" ht="31.5" hidden="false" customHeight="true" outlineLevel="0" collapsed="false">
      <c r="B2" s="2" t="s">
        <v>498</v>
      </c>
      <c r="C2" s="2"/>
      <c r="D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499</v>
      </c>
      <c r="C4" s="8" t="s">
        <v>500</v>
      </c>
      <c r="D4" s="8"/>
    </row>
    <row r="5" customFormat="false" ht="25.5" hidden="false" customHeight="true" outlineLevel="0" collapsed="false">
      <c r="B5" s="4" t="s">
        <v>501</v>
      </c>
      <c r="C5" s="5" t="s">
        <v>502</v>
      </c>
      <c r="D5" s="5"/>
    </row>
    <row r="6" customFormat="false" ht="24" hidden="false" customHeight="true" outlineLevel="0" collapsed="false">
      <c r="B6" s="6" t="s">
        <v>503</v>
      </c>
      <c r="C6" s="7" t="s">
        <v>504</v>
      </c>
      <c r="D6" s="7"/>
    </row>
    <row r="7" customFormat="false" ht="25.5" hidden="false" customHeight="true" outlineLevel="0" collapsed="false">
      <c r="B7" s="4" t="s">
        <v>505</v>
      </c>
      <c r="C7" s="5" t="s">
        <v>506</v>
      </c>
      <c r="D7" s="5"/>
    </row>
    <row r="8" customFormat="false" ht="24" hidden="false" customHeight="true" outlineLevel="0" collapsed="false">
      <c r="B8" s="6" t="s">
        <v>456</v>
      </c>
      <c r="C8" s="7" t="s">
        <v>507</v>
      </c>
      <c r="D8" s="7"/>
    </row>
    <row r="9" customFormat="false" ht="24" hidden="false" customHeight="true" outlineLevel="0" collapsed="false">
      <c r="B9" s="4" t="s">
        <v>508</v>
      </c>
      <c r="C9" s="5" t="s">
        <v>509</v>
      </c>
      <c r="D9" s="5"/>
    </row>
    <row r="10" customFormat="false" ht="24" hidden="false" customHeight="true" outlineLevel="0" collapsed="false">
      <c r="B10" s="6" t="s">
        <v>510</v>
      </c>
      <c r="C10" s="7" t="s">
        <v>511</v>
      </c>
      <c r="D10" s="7"/>
    </row>
    <row r="11" customFormat="false" ht="25.5" hidden="false" customHeight="true" outlineLevel="0" collapsed="false">
      <c r="B11" s="4" t="s">
        <v>512</v>
      </c>
      <c r="C11" s="5" t="s">
        <v>513</v>
      </c>
      <c r="D11" s="5"/>
    </row>
    <row r="13" customFormat="false" ht="24" hidden="false" customHeight="true" outlineLevel="0" collapsed="false">
      <c r="B13" s="3" t="s">
        <v>514</v>
      </c>
    </row>
    <row r="14" customFormat="false" ht="27.75" hidden="false" customHeight="true" outlineLevel="0" collapsed="false">
      <c r="B14" s="8" t="s">
        <v>325</v>
      </c>
      <c r="C14" s="8" t="s">
        <v>515</v>
      </c>
      <c r="D14" s="8" t="s">
        <v>516</v>
      </c>
    </row>
    <row r="15" customFormat="false" ht="25.5" hidden="false" customHeight="true" outlineLevel="0" collapsed="false">
      <c r="B15" s="10" t="s">
        <v>332</v>
      </c>
      <c r="C15" s="33" t="n">
        <v>5</v>
      </c>
      <c r="D15" s="10" t="s">
        <v>517</v>
      </c>
    </row>
    <row r="16" customFormat="false" ht="25.5" hidden="false" customHeight="true" outlineLevel="0" collapsed="false">
      <c r="B16" s="13" t="s">
        <v>357</v>
      </c>
      <c r="C16" s="34" t="n">
        <v>7</v>
      </c>
      <c r="D16" s="13" t="s">
        <v>518</v>
      </c>
    </row>
    <row r="17" customFormat="false" ht="21.75" hidden="false" customHeight="true" outlineLevel="0" collapsed="false">
      <c r="B17" s="10" t="s">
        <v>389</v>
      </c>
      <c r="C17" s="33" t="n">
        <v>8</v>
      </c>
      <c r="D17" s="10" t="s">
        <v>519</v>
      </c>
    </row>
    <row r="18" customFormat="false" ht="21.75" hidden="false" customHeight="true" outlineLevel="0" collapsed="false">
      <c r="B18" s="13" t="s">
        <v>425</v>
      </c>
      <c r="C18" s="34" t="n">
        <v>6</v>
      </c>
      <c r="D18" s="13" t="s">
        <v>520</v>
      </c>
    </row>
    <row r="19" customFormat="false" ht="21.75" hidden="false" customHeight="true" outlineLevel="0" collapsed="false">
      <c r="B19" s="10" t="s">
        <v>452</v>
      </c>
      <c r="C19" s="33" t="n">
        <v>4</v>
      </c>
      <c r="D19" s="10" t="s">
        <v>521</v>
      </c>
    </row>
    <row r="20" customFormat="false" ht="21.75" hidden="false" customHeight="true" outlineLevel="0" collapsed="false">
      <c r="B20" s="13" t="s">
        <v>472</v>
      </c>
      <c r="C20" s="34" t="n">
        <v>5</v>
      </c>
      <c r="D20" s="13" t="s">
        <v>522</v>
      </c>
    </row>
    <row r="21" customFormat="false" ht="25.5" hidden="false" customHeight="true" outlineLevel="0" collapsed="false">
      <c r="B21" s="19" t="s">
        <v>523</v>
      </c>
      <c r="C21" s="20" t="n">
        <v>35</v>
      </c>
      <c r="D21" s="19"/>
    </row>
  </sheetData>
  <mergeCells count="9">
    <mergeCell ref="B2:D2"/>
    <mergeCell ref="C4:D4"/>
    <mergeCell ref="C5:D5"/>
    <mergeCell ref="C6:D6"/>
    <mergeCell ref="C7:D7"/>
    <mergeCell ref="C8:D8"/>
    <mergeCell ref="C9:D9"/>
    <mergeCell ref="C10:D10"/>
    <mergeCell ref="C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34"/>
    <col collapsed="false" customWidth="true" hidden="false" outlineLevel="0" max="5" min="5" style="1" width="10"/>
  </cols>
  <sheetData>
    <row r="2" customFormat="false" ht="31.5" hidden="false" customHeight="true" outlineLevel="0" collapsed="false">
      <c r="B2" s="2" t="s">
        <v>524</v>
      </c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B4" s="8" t="s">
        <v>525</v>
      </c>
      <c r="C4" s="8" t="s">
        <v>526</v>
      </c>
      <c r="D4" s="8" t="s">
        <v>527</v>
      </c>
      <c r="E4" s="8" t="s">
        <v>528</v>
      </c>
    </row>
    <row r="5" customFormat="false" ht="21.75" hidden="false" customHeight="true" outlineLevel="0" collapsed="false">
      <c r="B5" s="10" t="s">
        <v>529</v>
      </c>
      <c r="C5" s="10" t="n">
        <v>45</v>
      </c>
      <c r="D5" s="10" t="n">
        <f aca="false">COUNTA(Находки!B5:B49)</f>
        <v>45</v>
      </c>
      <c r="E5" s="36" t="str">
        <f aca="false">IF(C5=D5,"PASS","FAIL")</f>
        <v>PASS</v>
      </c>
    </row>
    <row r="6" customFormat="false" ht="21.75" hidden="false" customHeight="true" outlineLevel="0" collapsed="false">
      <c r="B6" s="13" t="s">
        <v>20</v>
      </c>
      <c r="C6" s="13" t="n">
        <v>4</v>
      </c>
      <c r="D6" s="13" t="n">
        <f aca="false">COUNTIF(Находки!C5:C49,"Критический")</f>
        <v>4</v>
      </c>
      <c r="E6" s="37" t="str">
        <f aca="false">IF(C6=D6,"PASS","FAIL")</f>
        <v>PASS</v>
      </c>
    </row>
    <row r="7" customFormat="false" ht="21.75" hidden="false" customHeight="true" outlineLevel="0" collapsed="false">
      <c r="B7" s="10" t="s">
        <v>21</v>
      </c>
      <c r="C7" s="10" t="n">
        <v>13</v>
      </c>
      <c r="D7" s="10" t="n">
        <f aca="false">COUNTIF(Находки!C5:C49,"Высокий")</f>
        <v>13</v>
      </c>
      <c r="E7" s="36" t="str">
        <f aca="false">IF(C7=D7,"PASS","FAIL")</f>
        <v>PASS</v>
      </c>
    </row>
    <row r="8" customFormat="false" ht="21.75" hidden="false" customHeight="true" outlineLevel="0" collapsed="false">
      <c r="B8" s="13" t="s">
        <v>22</v>
      </c>
      <c r="C8" s="13" t="n">
        <v>18</v>
      </c>
      <c r="D8" s="13" t="n">
        <f aca="false">COUNTIF(Находки!C5:C49,"Средний")</f>
        <v>18</v>
      </c>
      <c r="E8" s="37" t="str">
        <f aca="false">IF(C8=D8,"PASS","FAIL")</f>
        <v>PASS</v>
      </c>
    </row>
    <row r="9" customFormat="false" ht="21.75" hidden="false" customHeight="true" outlineLevel="0" collapsed="false">
      <c r="B9" s="10" t="s">
        <v>23</v>
      </c>
      <c r="C9" s="10" t="n">
        <v>10</v>
      </c>
      <c r="D9" s="10" t="n">
        <f aca="false">COUNTIF(Находки!C5:C49,"Низкий")</f>
        <v>10</v>
      </c>
      <c r="E9" s="36" t="str">
        <f aca="false">IF(C9=D9,"PASS","FAIL")</f>
        <v>PASS</v>
      </c>
    </row>
    <row r="10" customFormat="false" ht="21.75" hidden="false" customHeight="true" outlineLevel="0" collapsed="false">
      <c r="B10" s="13" t="s">
        <v>530</v>
      </c>
      <c r="C10" s="13" t="n">
        <v>35</v>
      </c>
      <c r="D10" s="13" t="n">
        <f aca="false">COUNTIF(Роадмап!B5:B45,"R-*")</f>
        <v>35</v>
      </c>
      <c r="E10" s="37" t="str">
        <f aca="false">IF(C10=D10,"PASS","FAIL")</f>
        <v>PASS</v>
      </c>
    </row>
    <row r="11" customFormat="false" ht="21.75" hidden="false" customHeight="true" outlineLevel="0" collapsed="false">
      <c r="B11" s="10" t="s">
        <v>531</v>
      </c>
      <c r="C11" s="10" t="n">
        <v>9</v>
      </c>
      <c r="D11" s="10" t="n">
        <f aca="false">COUNTA(Сводка!B20:B28)</f>
        <v>9</v>
      </c>
      <c r="E11" s="36" t="str">
        <f aca="false">IF(C11=D11,"PASS","FAIL")</f>
        <v>PASS</v>
      </c>
    </row>
    <row r="12" customFormat="false" ht="21.75" hidden="false" customHeight="true" outlineLevel="0" collapsed="false">
      <c r="B12" s="13" t="s">
        <v>532</v>
      </c>
      <c r="C12" s="13" t="n">
        <v>35</v>
      </c>
      <c r="D12" s="13" t="n">
        <f aca="false">SUM('Тесты и метрики'!C15:C20)</f>
        <v>35</v>
      </c>
      <c r="E12" s="37" t="str">
        <f aca="false">IF(C12=D12,"PASS","FAIL")</f>
        <v>PASS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2026-09-18T12:14:28Z</dcterms:created>
  <dc:creator>Z.ai</dc:creator>
  <dc:description/>
  <dc:language>en-US</dc:language>
  <cp:lastModifiedBy/>
  <dcterms:modified xsi:type="dcterms:W3CDTF">2026-09-18T12:14:37Z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